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tri-Recu\Desktop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<sst xmlns="http://schemas.openxmlformats.org/spreadsheetml/2006/main" count="99" uniqueCount="85">
  <si>
    <t>Columna1</t>
  </si>
  <si>
    <t>APELLIDO Y NOMNRE</t>
  </si>
  <si>
    <t>ESTADO NUTRICIONAL</t>
  </si>
  <si>
    <t>VÍA DE ALIMENTACIÓN</t>
  </si>
  <si>
    <t>DNI</t>
  </si>
  <si>
    <t>SEXO</t>
  </si>
  <si>
    <t>DOMICILIO</t>
  </si>
  <si>
    <t>AG. SANITARIO</t>
  </si>
  <si>
    <t>FN</t>
  </si>
  <si>
    <t>EDAD</t>
  </si>
  <si>
    <t>PN (gr)</t>
  </si>
  <si>
    <t>TN (cm)</t>
  </si>
  <si>
    <t>EG</t>
  </si>
  <si>
    <t>FECHA INGRESO</t>
  </si>
  <si>
    <t>PESO INGRESO (kg)</t>
  </si>
  <si>
    <t>TALLA INGRESO (cm)</t>
  </si>
  <si>
    <t>P/T</t>
  </si>
  <si>
    <t>P/E</t>
  </si>
  <si>
    <t>T/E</t>
  </si>
  <si>
    <t>P/R</t>
  </si>
  <si>
    <t>FECHA EGRESO</t>
  </si>
  <si>
    <t>PESO EGRESO (kg)</t>
  </si>
  <si>
    <t>TALLA EGRESO (cm)</t>
  </si>
  <si>
    <t xml:space="preserve">P/T </t>
  </si>
  <si>
    <t xml:space="preserve">P/E </t>
  </si>
  <si>
    <t xml:space="preserve">T/E </t>
  </si>
  <si>
    <t>P/R2</t>
  </si>
  <si>
    <t>GANANCIA DE PESO (gr/d)</t>
  </si>
  <si>
    <t>ESTADIA (días)</t>
  </si>
  <si>
    <t>TUTOR/A</t>
  </si>
  <si>
    <t>DX INGRESO</t>
  </si>
  <si>
    <t>Diagnostico Egreso</t>
  </si>
  <si>
    <t>FORMULA AL EGRESO</t>
  </si>
  <si>
    <t>F</t>
  </si>
  <si>
    <t>Consultorios Externos</t>
  </si>
  <si>
    <t>SNG</t>
  </si>
  <si>
    <t>M</t>
  </si>
  <si>
    <t>Pediatria 1° Piso</t>
  </si>
  <si>
    <t xml:space="preserve">RECUPERADA NUTRICIONALMENTE </t>
  </si>
  <si>
    <t>V.O</t>
  </si>
  <si>
    <t xml:space="preserve">Gonzalez Luis Antonio </t>
  </si>
  <si>
    <t>DNT cronica</t>
  </si>
  <si>
    <t>MISION LA PAZ SVE</t>
  </si>
  <si>
    <t xml:space="preserve">UTI PEDIATRIA </t>
  </si>
  <si>
    <t>2,85</t>
  </si>
  <si>
    <t xml:space="preserve">Gonzalez Nilda </t>
  </si>
  <si>
    <t xml:space="preserve">DNT cronica calorica proteica severasecundaria- Cardiopatia congenita- sindrome genetico e/e </t>
  </si>
  <si>
    <t>Continua Internado</t>
  </si>
  <si>
    <t xml:space="preserve">formula de inicio 60cc/toma al 18% cada 3hs </t>
  </si>
  <si>
    <t>Arias Mia Rocio</t>
  </si>
  <si>
    <t xml:space="preserve">DNT aguda calorica </t>
  </si>
  <si>
    <t>SAN SILVESTRE TARTAGAL</t>
  </si>
  <si>
    <t>2,780</t>
  </si>
  <si>
    <t xml:space="preserve">Moreno Angela </t>
  </si>
  <si>
    <t>DNT Aguda Calorica primaria- Impetigo- ARS</t>
  </si>
  <si>
    <t>Continua Internada</t>
  </si>
  <si>
    <t>formula de inicio</t>
  </si>
  <si>
    <t xml:space="preserve">Isquica Martina </t>
  </si>
  <si>
    <t xml:space="preserve">Dnt cronica </t>
  </si>
  <si>
    <t>B LA MERCED MOSCONI</t>
  </si>
  <si>
    <t>3,100</t>
  </si>
  <si>
    <t xml:space="preserve">Villareal Silvia </t>
  </si>
  <si>
    <t xml:space="preserve">DNT Aguda Calorica Moderada - Retraso del Neurodesarrollo -Microcefalia-Quiste simple Hepatico- Trastorno Deglutorio en estudio </t>
  </si>
  <si>
    <t xml:space="preserve">formula de inicio </t>
  </si>
  <si>
    <t xml:space="preserve">F </t>
  </si>
  <si>
    <t xml:space="preserve">Tarraga Agustiba Mrtina </t>
  </si>
  <si>
    <t>DNT CRONICA</t>
  </si>
  <si>
    <t>B 9 DE JULIO</t>
  </si>
  <si>
    <t>3,04</t>
  </si>
  <si>
    <t xml:space="preserve">Tarraga Eliana </t>
  </si>
  <si>
    <t>DNT cronica calorica proteica moderada- anemia cronica- bronqueolitis leve - ars</t>
  </si>
  <si>
    <t xml:space="preserve">continua internada </t>
  </si>
  <si>
    <t xml:space="preserve">formula 0% lactosa 120cc/toma al 15% por sng </t>
  </si>
  <si>
    <t xml:space="preserve">Segundo Yanet Joselin </t>
  </si>
  <si>
    <t xml:space="preserve">M WHICHI MOSCONI </t>
  </si>
  <si>
    <t>2,04</t>
  </si>
  <si>
    <t>DESNUTRICION CRONICA ARMONICA. ANEMIA CRONICA, TBC A ESTUDIAR, ARS</t>
  </si>
  <si>
    <t xml:space="preserve">formula 0% lactosa 200cc/toma al 15% por sng </t>
  </si>
  <si>
    <t xml:space="preserve">Diaz Yeimi Irene </t>
  </si>
  <si>
    <t>M EL CRUCE MOSCONI</t>
  </si>
  <si>
    <t>3,09</t>
  </si>
  <si>
    <t>Romero Adriana</t>
  </si>
  <si>
    <t>Desnutricon Cronica Calorica secundaria - Trastorno deglutorio - ecne - RMG -SBOR</t>
  </si>
  <si>
    <t xml:space="preserve">formula de inicio 90 CC /TOMA AL 18% POR SUCCION </t>
  </si>
  <si>
    <t>05/07/2024 al 12/07/2024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</si>
</sst>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 Rounded MT Bold"/>
      <family val="2"/>
    </font>
    <font>
      <b/>
      <i/>
      <sz val="11"/>
      <color theme="1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 vertical="center"/>
    </xf>
    <xf numFmtId="0" fontId="3" fillId="2" borderId="4" xfId="0" applyFont="1" applyFill="1" applyBorder="1"/>
    <xf numFmtId="14" fontId="3" fillId="2" borderId="4" xfId="0" applyNumberFormat="1" applyFont="1" applyFill="1" applyBorder="1"/>
    <xf numFmtId="1" fontId="1" fillId="2" borderId="4" xfId="0" applyNumberFormat="1" applyFont="1" applyFill="1" applyBorder="1" applyAlignment="1">
      <alignment horizontal="center" vertical="center"/>
    </xf>
    <xf numFmtId="0" fontId="0" fillId="2" borderId="4" xfId="0" applyFill="1" applyBorder="1"/>
    <xf numFmtId="14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6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2" fontId="0" fillId="2" borderId="4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3" borderId="4" xfId="0" applyFill="1" applyBorder="1"/>
    <xf numFmtId="0" fontId="3" fillId="3" borderId="4" xfId="0" applyFont="1" applyFill="1" applyBorder="1"/>
    <xf numFmtId="0" fontId="0" fillId="3" borderId="4" xfId="0" applyFont="1" applyFill="1" applyBorder="1"/>
    <xf numFmtId="1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/>
    <xf numFmtId="0" fontId="0" fillId="3" borderId="6" xfId="0" applyFill="1" applyBorder="1"/>
    <xf numFmtId="0" fontId="4" fillId="3" borderId="4" xfId="0" applyFont="1" applyFill="1" applyBorder="1"/>
    <xf numFmtId="49" fontId="0" fillId="2" borderId="4" xfId="0" applyNumberFormat="1" applyFill="1" applyBorder="1"/>
    <xf numFmtId="9" fontId="0" fillId="2" borderId="4" xfId="0" applyNumberFormat="1" applyFill="1" applyBorder="1"/>
    <xf numFmtId="0" fontId="5" fillId="2" borderId="4" xfId="0" applyFont="1" applyFill="1" applyBorder="1"/>
    <xf numFmtId="14" fontId="0" fillId="2" borderId="4" xfId="0" applyNumberFormat="1" applyFill="1" applyBorder="1"/>
    <xf numFmtId="0" fontId="0" fillId="5" borderId="4" xfId="0" applyFill="1" applyBorder="1"/>
    <xf numFmtId="0" fontId="0" fillId="0" borderId="0" xfId="0" applyBorder="1"/>
    <xf numFmtId="0" fontId="0" fillId="5" borderId="0" xfId="0" applyFill="1" applyBorder="1"/>
    <xf numFmtId="0" fontId="0" fillId="0" borderId="7" xfId="0" applyFill="1" applyBorder="1"/>
    <xf numFmtId="0" fontId="0" fillId="0" borderId="0" xfId="0" applyFill="1" applyBorder="1"/>
    <xf numFmtId="14" fontId="0" fillId="0" borderId="0" xfId="0" applyNumberFormat="1" applyBorder="1"/>
    <xf numFmtId="49" fontId="0" fillId="0" borderId="0" xfId="0" applyNumberFormat="1"/>
    <xf numFmtId="14" fontId="0" fillId="0" borderId="0" xfId="0" applyNumberFormat="1"/>
    <xf numFmtId="0" fontId="0" fillId="2" borderId="7" xfId="0" applyFill="1" applyBorder="1"/>
    <xf numFmtId="9" fontId="0" fillId="0" borderId="0" xfId="0" applyNumberFormat="1"/>
    <xf numFmtId="0" fontId="5" fillId="4" borderId="7" xfId="0" applyFont="1" applyFill="1" applyBorder="1"/>
    <xf numFmtId="0" fontId="5" fillId="2" borderId="7" xfId="0" applyFont="1" applyFill="1" applyBorder="1"/>
    <xf numFmtId="0" fontId="0" fillId="2" borderId="0" xfId="0" applyFill="1" applyBorder="1"/>
    <xf numFmtId="0" fontId="0" fillId="2" borderId="8" xfId="0" applyFill="1" applyBorder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a1" displayName="Tabla1" ref="A1:AG2" insertRow="1" totalsRowShown="0" headerRowDxfId="36" dataDxfId="34" headerRowBorderDxfId="35" tableBorderDxfId="33">
  <sortState ref="A2:AD48">
    <sortCondition ref="A6:A53"/>
  </sortState>
  <tableColumns count="33">
    <tableColumn id="24" name="Columna1" dataDxfId="32"/>
    <tableColumn id="2" name="APELLIDO Y NOMNRE" dataDxfId="31"/>
    <tableColumn id="1" name="ESTADO NUTRICIONAL" dataDxfId="30"/>
    <tableColumn id="4" name="VÍA DE ALIMENTACIÓN" dataDxfId="29"/>
    <tableColumn id="13" name="DNI" dataDxfId="28"/>
    <tableColumn id="10" name="SEXO" dataDxfId="27"/>
    <tableColumn id="11" name="DOMICILIO" dataDxfId="26"/>
    <tableColumn id="3" name="AG. SANITARIO" dataDxfId="25"/>
    <tableColumn id="12" name="FN" dataDxfId="24"/>
    <tableColumn id="14" name="EDAD" dataDxfId="23"/>
    <tableColumn id="20" name="PN (gr)" dataDxfId="22"/>
    <tableColumn id="21" name="TN (cm)" dataDxfId="21"/>
    <tableColumn id="22" name="EG" dataDxfId="20"/>
    <tableColumn id="5" name="FECHA INGRESO" dataDxfId="19"/>
    <tableColumn id="15" name="PESO INGRESO (kg)" dataDxfId="18"/>
    <tableColumn id="16" name="TALLA INGRESO (cm)" dataDxfId="17"/>
    <tableColumn id="25" name="P/T" dataDxfId="16"/>
    <tableColumn id="26" name="P/E" dataDxfId="15"/>
    <tableColumn id="27" name="T/E" dataDxfId="14"/>
    <tableColumn id="32" name="P/R" dataDxfId="13"/>
    <tableColumn id="6" name="FECHA EGRESO" dataDxfId="12"/>
    <tableColumn id="17" name="PESO EGRESO (kg)" dataDxfId="11"/>
    <tableColumn id="7" name="TALLA EGRESO (cm)" dataDxfId="10"/>
    <tableColumn id="28" name="P/T " dataDxfId="9"/>
    <tableColumn id="29" name="P/E " dataDxfId="8"/>
    <tableColumn id="30" name="T/E " dataDxfId="7"/>
    <tableColumn id="33" name="P/R2" dataDxfId="6"/>
    <tableColumn id="18" name="GANANCIA DE PESO (gr/d)" dataDxfId="5">
      <calculatedColumnFormula>#REF!</calculatedColumnFormula>
    </tableColumn>
    <tableColumn id="8" name="ESTADIA (días)" dataDxfId="4">
      <calculatedColumnFormula>Tabla1[[#This Row],[FECHA EGRESO]]-Tabla1[[#This Row],[FECHA INGRESO]]</calculatedColumnFormula>
    </tableColumn>
    <tableColumn id="19" name="TUTOR/A" dataDxfId="3"/>
    <tableColumn id="9" name="DX INGRESO" dataDxfId="2"/>
    <tableColumn id="23" name="Diagnostico Egreso" dataDxfId="1"/>
    <tableColumn id="31" name="FORMULA AL EGRES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"/>
  <sheetViews>
    <sheetView tabSelected="1" workbookViewId="0">
      <selection activeCell="G11" sqref="G11"/>
    </sheetView>
  </sheetViews>
  <sheetFormatPr baseColWidth="10" defaultRowHeight="15" x14ac:dyDescent="0.25"/>
  <sheetData>
    <row r="1" spans="1:33" ht="39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  <c r="V1" s="6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6" t="s">
        <v>28</v>
      </c>
      <c r="AD1" s="1" t="s">
        <v>29</v>
      </c>
      <c r="AE1" s="1" t="s">
        <v>30</v>
      </c>
      <c r="AF1" s="1" t="s">
        <v>31</v>
      </c>
      <c r="AG1" s="7" t="s">
        <v>32</v>
      </c>
    </row>
    <row r="2" spans="1:33" x14ac:dyDescent="0.25">
      <c r="A2" s="8"/>
      <c r="B2" s="9"/>
      <c r="C2" s="10"/>
      <c r="D2" s="10"/>
      <c r="E2" s="9"/>
      <c r="F2" s="11"/>
      <c r="G2" s="12"/>
      <c r="H2" s="12"/>
      <c r="I2" s="13"/>
      <c r="J2" s="14"/>
      <c r="K2" s="12"/>
      <c r="L2" s="15"/>
      <c r="M2" s="9"/>
      <c r="N2" s="16"/>
      <c r="O2" s="17"/>
      <c r="P2" s="16"/>
      <c r="Q2" s="18"/>
      <c r="R2" s="18"/>
      <c r="S2" s="18"/>
      <c r="T2" s="19"/>
      <c r="U2" s="20"/>
      <c r="V2" s="21"/>
      <c r="W2" s="22"/>
      <c r="X2" s="22"/>
      <c r="Y2" s="22"/>
      <c r="Z2" s="22"/>
      <c r="AA2" s="22"/>
      <c r="AB2" s="23"/>
      <c r="AC2" s="24"/>
      <c r="AD2" s="25"/>
      <c r="AE2" s="26"/>
      <c r="AF2" s="25"/>
      <c r="AG2" s="22"/>
    </row>
    <row r="3" spans="1:33" ht="15.75" x14ac:dyDescent="0.25">
      <c r="A3" s="27"/>
      <c r="B3" s="28" t="s">
        <v>84</v>
      </c>
      <c r="C3" s="27"/>
      <c r="D3" s="27"/>
      <c r="E3" s="27"/>
      <c r="F3" s="27"/>
      <c r="G3" s="27"/>
      <c r="H3" s="29"/>
      <c r="I3" s="27"/>
      <c r="J3" s="30" t="str">
        <f t="shared" ref="J3" ca="1" si="0">DATEDIF(I3,TODAY(),"y")&amp;" A "&amp;DATEDIF(I3,TODAY(),"ym")&amp;" M "&amp;DATEDIF(I3,TODAY(),"md")&amp;" D"</f>
        <v>124 A 6 M 12 D</v>
      </c>
      <c r="K3" s="31"/>
      <c r="L3" s="27"/>
      <c r="M3" s="27"/>
      <c r="N3" s="27"/>
      <c r="O3" s="27"/>
      <c r="P3" s="27"/>
      <c r="Q3" s="27"/>
      <c r="R3" s="27"/>
      <c r="S3" s="27"/>
      <c r="T3" s="27"/>
      <c r="U3" s="32"/>
      <c r="V3" s="33"/>
      <c r="W3" s="33"/>
      <c r="X3" s="33"/>
      <c r="Y3" s="33"/>
      <c r="Z3" s="33"/>
      <c r="AA3" s="33"/>
      <c r="AB3" s="33"/>
      <c r="AC3" s="33"/>
      <c r="AD3" s="27"/>
      <c r="AE3" s="32"/>
      <c r="AF3" s="27"/>
      <c r="AG3" s="27"/>
    </row>
    <row r="4" spans="1:33" x14ac:dyDescent="0.25">
      <c r="A4" s="15"/>
      <c r="B4" s="38" t="s">
        <v>40</v>
      </c>
      <c r="C4" s="15" t="s">
        <v>41</v>
      </c>
      <c r="D4" s="15" t="s">
        <v>35</v>
      </c>
      <c r="E4" s="15">
        <v>70198574</v>
      </c>
      <c r="F4" s="15" t="s">
        <v>36</v>
      </c>
      <c r="G4" s="15" t="s">
        <v>42</v>
      </c>
      <c r="H4" s="15" t="s">
        <v>43</v>
      </c>
      <c r="I4" s="37">
        <v>45409</v>
      </c>
      <c r="J4" s="37"/>
      <c r="K4" s="34" t="s">
        <v>44</v>
      </c>
      <c r="L4" s="15">
        <v>48</v>
      </c>
      <c r="M4" s="15">
        <v>37</v>
      </c>
      <c r="N4" s="37">
        <v>45462</v>
      </c>
      <c r="O4" s="15">
        <v>2.6</v>
      </c>
      <c r="P4" s="15">
        <v>49</v>
      </c>
      <c r="Q4" s="15">
        <v>-4.1900000000000004</v>
      </c>
      <c r="R4" s="15">
        <v>-4.8</v>
      </c>
      <c r="S4" s="15">
        <v>-4.2</v>
      </c>
      <c r="T4" s="35">
        <v>0.65</v>
      </c>
      <c r="U4" s="15"/>
      <c r="V4" s="15"/>
      <c r="W4" s="15"/>
      <c r="X4" s="15"/>
      <c r="Y4" s="15"/>
      <c r="Z4" s="15"/>
      <c r="AA4" s="15"/>
      <c r="AB4" s="15"/>
      <c r="AC4" s="15"/>
      <c r="AD4" s="15" t="s">
        <v>45</v>
      </c>
      <c r="AE4" s="15" t="s">
        <v>46</v>
      </c>
      <c r="AF4" s="36" t="s">
        <v>47</v>
      </c>
      <c r="AG4" s="15" t="s">
        <v>48</v>
      </c>
    </row>
    <row r="5" spans="1:33" x14ac:dyDescent="0.25">
      <c r="A5" s="39"/>
      <c r="B5" s="40" t="s">
        <v>49</v>
      </c>
      <c r="C5" s="39" t="s">
        <v>50</v>
      </c>
      <c r="D5" s="41" t="s">
        <v>39</v>
      </c>
      <c r="E5" s="41">
        <v>70298049</v>
      </c>
      <c r="F5" s="42" t="s">
        <v>33</v>
      </c>
      <c r="G5" s="41" t="s">
        <v>51</v>
      </c>
      <c r="H5" s="41" t="s">
        <v>34</v>
      </c>
      <c r="I5" s="43">
        <v>45398</v>
      </c>
      <c r="J5" s="43"/>
      <c r="K5" s="44" t="s">
        <v>52</v>
      </c>
      <c r="L5">
        <v>50</v>
      </c>
      <c r="M5">
        <v>42</v>
      </c>
      <c r="N5" s="45">
        <v>45468</v>
      </c>
      <c r="O5" s="46">
        <v>3.87</v>
      </c>
      <c r="P5" s="46">
        <v>55</v>
      </c>
      <c r="Q5" s="46">
        <v>-2.3199999999999998</v>
      </c>
      <c r="R5" s="46">
        <v>-2.4700000000000002</v>
      </c>
      <c r="S5" s="41">
        <v>-1.4</v>
      </c>
      <c r="T5" s="47">
        <v>0.78</v>
      </c>
      <c r="U5" s="45">
        <v>45481</v>
      </c>
      <c r="V5" s="46">
        <v>4.78</v>
      </c>
      <c r="W5" s="46">
        <v>56.5</v>
      </c>
      <c r="X5" s="46">
        <v>-0.84</v>
      </c>
      <c r="Y5" s="46">
        <v>-1.31</v>
      </c>
      <c r="Z5" s="46">
        <v>-1.23</v>
      </c>
      <c r="AA5" s="47">
        <v>0.95</v>
      </c>
      <c r="AD5" s="41" t="s">
        <v>53</v>
      </c>
      <c r="AE5" s="41" t="s">
        <v>54</v>
      </c>
      <c r="AF5" s="48" t="s">
        <v>38</v>
      </c>
      <c r="AG5" s="41" t="s">
        <v>83</v>
      </c>
    </row>
    <row r="6" spans="1:33" x14ac:dyDescent="0.25">
      <c r="A6" s="39"/>
      <c r="B6" s="40" t="s">
        <v>57</v>
      </c>
      <c r="C6" s="39" t="s">
        <v>58</v>
      </c>
      <c r="D6" s="46" t="s">
        <v>35</v>
      </c>
      <c r="E6" s="46">
        <v>70197551</v>
      </c>
      <c r="F6" s="42" t="s">
        <v>33</v>
      </c>
      <c r="G6" s="46" t="s">
        <v>59</v>
      </c>
      <c r="H6" s="46" t="s">
        <v>34</v>
      </c>
      <c r="I6" s="43">
        <v>45310</v>
      </c>
      <c r="J6" s="43"/>
      <c r="K6" s="44" t="s">
        <v>60</v>
      </c>
      <c r="L6">
        <v>49</v>
      </c>
      <c r="M6">
        <v>38</v>
      </c>
      <c r="N6" s="45">
        <v>45468</v>
      </c>
      <c r="O6" s="46">
        <v>4.59</v>
      </c>
      <c r="P6" s="46">
        <v>61</v>
      </c>
      <c r="Q6" s="46">
        <v>-3.46</v>
      </c>
      <c r="R6" s="46">
        <v>-3.45</v>
      </c>
      <c r="S6" s="46">
        <v>-1.58</v>
      </c>
      <c r="T6" s="47">
        <v>0.74</v>
      </c>
      <c r="AD6" s="46" t="s">
        <v>61</v>
      </c>
      <c r="AE6" s="46" t="s">
        <v>62</v>
      </c>
      <c r="AF6" s="49" t="s">
        <v>55</v>
      </c>
      <c r="AG6" s="46" t="s">
        <v>63</v>
      </c>
    </row>
    <row r="7" spans="1:33" x14ac:dyDescent="0.25">
      <c r="A7" s="39"/>
      <c r="B7" s="40" t="s">
        <v>65</v>
      </c>
      <c r="C7" s="42" t="s">
        <v>66</v>
      </c>
      <c r="D7" s="46" t="s">
        <v>35</v>
      </c>
      <c r="E7" s="46">
        <v>70039361</v>
      </c>
      <c r="F7" s="42" t="s">
        <v>64</v>
      </c>
      <c r="G7" s="46" t="s">
        <v>67</v>
      </c>
      <c r="H7" s="46" t="s">
        <v>34</v>
      </c>
      <c r="I7" s="43">
        <v>45169</v>
      </c>
      <c r="J7" s="43"/>
      <c r="K7" s="44" t="s">
        <v>68</v>
      </c>
      <c r="L7">
        <v>46.5</v>
      </c>
      <c r="M7">
        <v>39</v>
      </c>
      <c r="N7" s="45">
        <v>45475</v>
      </c>
      <c r="O7" s="46">
        <v>5.84</v>
      </c>
      <c r="P7" s="46">
        <v>65</v>
      </c>
      <c r="Q7" s="46">
        <v>-2.13</v>
      </c>
      <c r="R7" s="46">
        <v>-3.15</v>
      </c>
      <c r="S7" s="46">
        <v>-2.65</v>
      </c>
      <c r="T7" s="47">
        <v>0.79</v>
      </c>
      <c r="AD7" s="46" t="s">
        <v>69</v>
      </c>
      <c r="AE7" s="46" t="s">
        <v>70</v>
      </c>
      <c r="AF7" s="49" t="s">
        <v>71</v>
      </c>
      <c r="AG7" s="46" t="s">
        <v>72</v>
      </c>
    </row>
    <row r="8" spans="1:33" x14ac:dyDescent="0.25">
      <c r="A8" s="39"/>
      <c r="B8" s="40" t="s">
        <v>73</v>
      </c>
      <c r="C8" s="42" t="s">
        <v>66</v>
      </c>
      <c r="D8" s="41" t="s">
        <v>35</v>
      </c>
      <c r="E8" s="41">
        <v>59428115</v>
      </c>
      <c r="F8" s="42" t="s">
        <v>33</v>
      </c>
      <c r="G8" s="41" t="s">
        <v>74</v>
      </c>
      <c r="H8" s="41" t="s">
        <v>37</v>
      </c>
      <c r="I8" s="43">
        <v>44721</v>
      </c>
      <c r="J8" s="43"/>
      <c r="K8" s="44" t="s">
        <v>75</v>
      </c>
      <c r="L8">
        <v>44</v>
      </c>
      <c r="M8">
        <v>37</v>
      </c>
      <c r="N8" s="45">
        <v>45476</v>
      </c>
      <c r="O8" s="46">
        <v>8.7799999999999994</v>
      </c>
      <c r="P8" s="46">
        <v>77</v>
      </c>
      <c r="Q8" s="46">
        <v>-2.88</v>
      </c>
      <c r="R8" s="46">
        <v>-2.37</v>
      </c>
      <c r="S8" s="41">
        <v>-2.88</v>
      </c>
      <c r="T8" s="47">
        <v>0.93</v>
      </c>
      <c r="AE8" t="s">
        <v>76</v>
      </c>
      <c r="AF8" s="48" t="s">
        <v>71</v>
      </c>
      <c r="AG8" s="41" t="s">
        <v>77</v>
      </c>
    </row>
    <row r="9" spans="1:33" x14ac:dyDescent="0.25">
      <c r="A9" s="39"/>
      <c r="B9" s="40" t="s">
        <v>78</v>
      </c>
      <c r="C9" s="42" t="s">
        <v>66</v>
      </c>
      <c r="D9" s="46" t="s">
        <v>35</v>
      </c>
      <c r="E9" s="46">
        <v>59938632</v>
      </c>
      <c r="F9" s="42" t="s">
        <v>33</v>
      </c>
      <c r="G9" s="46" t="s">
        <v>79</v>
      </c>
      <c r="H9" s="46" t="s">
        <v>34</v>
      </c>
      <c r="I9" s="43">
        <v>44715</v>
      </c>
      <c r="J9" s="43"/>
      <c r="K9" s="44" t="s">
        <v>80</v>
      </c>
      <c r="L9">
        <v>45.5</v>
      </c>
      <c r="M9">
        <v>37</v>
      </c>
      <c r="N9" s="45">
        <v>45481</v>
      </c>
      <c r="O9" s="46">
        <v>6.6</v>
      </c>
      <c r="P9" s="46">
        <v>68</v>
      </c>
      <c r="Q9" s="46">
        <v>-1.49</v>
      </c>
      <c r="R9" s="46">
        <v>-2.81</v>
      </c>
      <c r="S9" s="46">
        <v>-2.81</v>
      </c>
      <c r="T9" s="47">
        <v>0.88</v>
      </c>
      <c r="AD9" s="50" t="s">
        <v>81</v>
      </c>
      <c r="AE9" s="51" t="s">
        <v>82</v>
      </c>
      <c r="AF9" s="49" t="s">
        <v>71</v>
      </c>
      <c r="AG9" s="46" t="s">
        <v>56</v>
      </c>
    </row>
    <row r="10" spans="1:33" x14ac:dyDescent="0.25">
      <c r="A10" s="39"/>
      <c r="B10" s="39"/>
      <c r="C10" s="39"/>
      <c r="D10" s="39"/>
      <c r="E10" s="39"/>
      <c r="F10" s="39"/>
      <c r="G10" s="39"/>
      <c r="H10" s="39"/>
      <c r="I10" s="39"/>
      <c r="J10" s="43"/>
      <c r="K10" s="4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Nutri-Recu</dc:creator>
  <cp:lastModifiedBy>Nutri-Recu</cp:lastModifiedBy>
  <dcterms:created xsi:type="dcterms:W3CDTF">2024-07-05T11:46:38Z</dcterms:created>
  <dcterms:modified xsi:type="dcterms:W3CDTF">2024-07-12T11:53:30Z</dcterms:modified>
</cp:coreProperties>
</file>
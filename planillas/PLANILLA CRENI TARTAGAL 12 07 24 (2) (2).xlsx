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0490" windowHeight="7620"/>
  </bookViews>
  <sheets>
    <sheet name="Hoja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/>
  <c r="R5"/>
  <c r="K13" l="1"/>
  <c r="K12"/>
  <c r="AC2" l="1"/>
  <c r="AD2"/>
  <c r="K11"/>
  <c r="K10"/>
  <c r="K9"/>
  <c r="K8"/>
  <c r="K7"/>
  <c r="K6"/>
  <c r="K4" l="1"/>
  <c r="K3" l="1"/>
</calcChain>
</file>

<file path=xl/sharedStrings.xml><?xml version="1.0" encoding="utf-8"?>
<sst xmlns="http://schemas.openxmlformats.org/spreadsheetml/2006/main" count="157" uniqueCount="109">
  <si>
    <t>Columna1</t>
  </si>
  <si>
    <t>APELLIDO Y NOMNRE</t>
  </si>
  <si>
    <t>ESTADO NUTRICIONAL</t>
  </si>
  <si>
    <t>VÍA DE ALIMENTACIÓN</t>
  </si>
  <si>
    <t>DNI</t>
  </si>
  <si>
    <t>SEXO</t>
  </si>
  <si>
    <t>DOMICILIO</t>
  </si>
  <si>
    <t>AG. SANITARIO</t>
  </si>
  <si>
    <t>FN</t>
  </si>
  <si>
    <t>EDAD</t>
  </si>
  <si>
    <t>PN (gr)</t>
  </si>
  <si>
    <t>TN (cm)</t>
  </si>
  <si>
    <t>EG</t>
  </si>
  <si>
    <t>FECHA INGRESO</t>
  </si>
  <si>
    <t>PESO INGRESO (kg)</t>
  </si>
  <si>
    <t>TALLA INGRESO (cm)</t>
  </si>
  <si>
    <t>P/T</t>
  </si>
  <si>
    <t>P/E</t>
  </si>
  <si>
    <t>T/E</t>
  </si>
  <si>
    <t>P/R</t>
  </si>
  <si>
    <t>FECHA EGRESO</t>
  </si>
  <si>
    <t>PESO EGRESO (kg)</t>
  </si>
  <si>
    <t>TALLA EGRESO (cm)</t>
  </si>
  <si>
    <t xml:space="preserve">P/T </t>
  </si>
  <si>
    <t xml:space="preserve">P/E </t>
  </si>
  <si>
    <t xml:space="preserve">T/E </t>
  </si>
  <si>
    <t>P/R2</t>
  </si>
  <si>
    <t>GANANCIA DE PESO (gr/d)</t>
  </si>
  <si>
    <t>ESTADIA (días)</t>
  </si>
  <si>
    <t>TUTOR/A</t>
  </si>
  <si>
    <t>DX INGRESO</t>
  </si>
  <si>
    <t>Diagnostico Egreso</t>
  </si>
  <si>
    <t>FORMULA AL EGRESO</t>
  </si>
  <si>
    <t>F</t>
  </si>
  <si>
    <t>Consultorios Externos</t>
  </si>
  <si>
    <t>SNG</t>
  </si>
  <si>
    <t>M</t>
  </si>
  <si>
    <t xml:space="preserve">Gonzalez Luis Antonio </t>
  </si>
  <si>
    <t>DNT cronica</t>
  </si>
  <si>
    <t xml:space="preserve">UTI PEDIATRIA </t>
  </si>
  <si>
    <t xml:space="preserve">Gonzalez Nilda </t>
  </si>
  <si>
    <t xml:space="preserve">DNT cronica calorica proteica severasecundaria- Cardiopatia congenita- sindrome genetico e/e </t>
  </si>
  <si>
    <t>Continua Internado</t>
  </si>
  <si>
    <t xml:space="preserve">formula de inicio 60cc/toma al 18% cada 3hs </t>
  </si>
  <si>
    <t>Continua Internada</t>
  </si>
  <si>
    <t xml:space="preserve">DNT aguda </t>
  </si>
  <si>
    <t>Mision Lapacho II Tartagal</t>
  </si>
  <si>
    <t>3.130</t>
  </si>
  <si>
    <t>Ceballo Claudia</t>
  </si>
  <si>
    <t>DNT Aguda Calorica Moderada -GEA- Alto Riesgo social</t>
  </si>
  <si>
    <t>Lopez Herrera Roman Armando</t>
  </si>
  <si>
    <t>Mision Km 6 Tartagal</t>
  </si>
  <si>
    <t xml:space="preserve">Herrera Sandra </t>
  </si>
  <si>
    <t>Burgos Marilina Roberta Paola</t>
  </si>
  <si>
    <t>2.285</t>
  </si>
  <si>
    <t>via oral</t>
  </si>
  <si>
    <t>Etnia</t>
  </si>
  <si>
    <t>criollo</t>
  </si>
  <si>
    <t>wichi</t>
  </si>
  <si>
    <t>Mision La Paz Santa Victoria Este</t>
  </si>
  <si>
    <t>Arce Fernanda sisiana Rosaly</t>
  </si>
  <si>
    <t xml:space="preserve">Secretario Dana Veronica </t>
  </si>
  <si>
    <t>Gerez eda Lucia</t>
  </si>
  <si>
    <t>Gavi Adolfo Belarde</t>
  </si>
  <si>
    <t>Peña Luis Leonardo</t>
  </si>
  <si>
    <t>Comunidad Pablo Secretario Tartagal</t>
  </si>
  <si>
    <t>ConsultoriosExternos</t>
  </si>
  <si>
    <t>Mision km 6 tartagal</t>
  </si>
  <si>
    <t>Alto La sierra Dpto Rivadavia</t>
  </si>
  <si>
    <t>Pediatria 1° Piso Tartagal</t>
  </si>
  <si>
    <t>Mision El Cruce General Enrique Mosconi</t>
  </si>
  <si>
    <t>Paraje TONONO Tartagal</t>
  </si>
  <si>
    <t>DNTcronica</t>
  </si>
  <si>
    <t xml:space="preserve">DNT cronica  </t>
  </si>
  <si>
    <t>2.200</t>
  </si>
  <si>
    <t>3.800</t>
  </si>
  <si>
    <t>.6.920</t>
  </si>
  <si>
    <t xml:space="preserve">Suarez Beatriz </t>
  </si>
  <si>
    <t xml:space="preserve">DNT cronica Calorica Leve - Anemia Cronica -GEA Trastornos del Medio Interno </t>
  </si>
  <si>
    <t>DNT Proteica Calorica Leve</t>
  </si>
  <si>
    <t xml:space="preserve">Formula de leche Entera al 15% ´azucar 4% 200cc x 5/T/diarias + dieta hipercalorica monoproteica c/ colaciones </t>
  </si>
  <si>
    <t xml:space="preserve">DNT cronica </t>
  </si>
  <si>
    <t>3.000</t>
  </si>
  <si>
    <t>Arce Dina Rebeca</t>
  </si>
  <si>
    <t>DNT croncia Calorica Pediatrica Leve - Anemia Moderada Alto RiesgoSocial</t>
  </si>
  <si>
    <t>Perez Esilda</t>
  </si>
  <si>
    <t xml:space="preserve">Soruco Eliana </t>
  </si>
  <si>
    <t>Bravo Milagro soldad</t>
  </si>
  <si>
    <t>DNT cronica  Calorica Proteica leve - Diarrea Intrmitente - Pio dermititis - Alto Rieso Social</t>
  </si>
  <si>
    <t>3.520</t>
  </si>
  <si>
    <t>DNT aguda calorica - Anemia- cronica -IRAB-Alto Riesgo Social</t>
  </si>
  <si>
    <t>NICASIO Victoria Arminda</t>
  </si>
  <si>
    <t>Mision Km 7 tartagal</t>
  </si>
  <si>
    <t>3.460</t>
  </si>
  <si>
    <t xml:space="preserve">Pastor Benigna </t>
  </si>
  <si>
    <t xml:space="preserve">DNT cronica Caorica Proteica </t>
  </si>
  <si>
    <t>DNT cronica calorica leve - IRAB-Anemia cronica- Enteroparasitosis con antecedentes  de PNT/AEG</t>
  </si>
  <si>
    <t>Bronquitis Aguda debidoa un virus Sincitial Respiratorio</t>
  </si>
  <si>
    <t xml:space="preserve">Formula Leche entera 15% + azucar4% 200cc x 5 tomas /diarias + dieta hipercalorica noroproeica con colaciones </t>
  </si>
  <si>
    <t>GONZALEZ  Luis Antonio</t>
  </si>
  <si>
    <t>SGN</t>
  </si>
  <si>
    <t>HPMI Salta</t>
  </si>
  <si>
    <t>Dsnutricion Calorica proteica Leve</t>
  </si>
  <si>
    <t>Formula de leche entera 0% lactosa via enteral + leche materna</t>
  </si>
  <si>
    <t>3.730</t>
  </si>
  <si>
    <t>Bronquioliti aguda no especificada Recuperada Nutricional</t>
  </si>
  <si>
    <t xml:space="preserve">Formula de leche entera 0%  lactossa + dieta astringente </t>
  </si>
  <si>
    <t>Formula de inicioal 18% 70cc cada 3 hs x 8 tomas mas lactancia materna</t>
  </si>
  <si>
    <t>17//08/2024   al 23/08/2024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</si>
</sst>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Arial Rounded MT Bold"/>
      <family val="2"/>
    </font>
    <font>
      <b/>
      <i/>
      <sz val="11"/>
      <color theme="1"/>
      <name val="Arial"/>
      <family val="2"/>
    </font>
    <font>
      <b/>
      <i/>
      <sz val="9"/>
      <color theme="1"/>
      <name val="Calibri"/>
      <family val="2"/>
      <scheme val="minor"/>
    </font>
    <font>
      <i/>
      <sz val="11"/>
      <color theme="1"/>
      <name val="Aharoni"/>
      <charset val="177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center" vertical="center"/>
    </xf>
    <xf numFmtId="3" fontId="0" fillId="2" borderId="4" xfId="0" applyNumberFormat="1" applyFill="1" applyBorder="1" applyAlignment="1">
      <alignment horizontal="center" vertical="center"/>
    </xf>
    <xf numFmtId="0" fontId="3" fillId="2" borderId="4" xfId="0" applyFont="1" applyFill="1" applyBorder="1"/>
    <xf numFmtId="14" fontId="3" fillId="2" borderId="4" xfId="0" applyNumberFormat="1" applyFont="1" applyFill="1" applyBorder="1"/>
    <xf numFmtId="1" fontId="1" fillId="2" borderId="4" xfId="0" applyNumberFormat="1" applyFont="1" applyFill="1" applyBorder="1" applyAlignment="1">
      <alignment horizontal="center" vertical="center"/>
    </xf>
    <xf numFmtId="0" fontId="0" fillId="2" borderId="4" xfId="0" applyFill="1" applyBorder="1"/>
    <xf numFmtId="14" fontId="1" fillId="2" borderId="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64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2" fontId="0" fillId="2" borderId="4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3" borderId="4" xfId="0" applyFill="1" applyBorder="1"/>
    <xf numFmtId="0" fontId="3" fillId="3" borderId="4" xfId="0" applyFont="1" applyFill="1" applyBorder="1"/>
    <xf numFmtId="0" fontId="0" fillId="3" borderId="4" xfId="0" applyFont="1" applyFill="1" applyBorder="1"/>
    <xf numFmtId="1" fontId="1" fillId="3" borderId="4" xfId="0" applyNumberFormat="1" applyFont="1" applyFill="1" applyBorder="1" applyAlignment="1">
      <alignment horizontal="center" vertical="center"/>
    </xf>
    <xf numFmtId="49" fontId="0" fillId="3" borderId="4" xfId="0" applyNumberFormat="1" applyFill="1" applyBorder="1"/>
    <xf numFmtId="0" fontId="0" fillId="3" borderId="6" xfId="0" applyFill="1" applyBorder="1"/>
    <xf numFmtId="0" fontId="4" fillId="3" borderId="4" xfId="0" applyFont="1" applyFill="1" applyBorder="1"/>
    <xf numFmtId="0" fontId="0" fillId="0" borderId="0" xfId="0" applyBorder="1"/>
    <xf numFmtId="0" fontId="0" fillId="0" borderId="4" xfId="0" applyBorder="1"/>
    <xf numFmtId="0" fontId="3" fillId="4" borderId="4" xfId="0" applyFont="1" applyFill="1" applyBorder="1"/>
    <xf numFmtId="49" fontId="3" fillId="2" borderId="4" xfId="0" applyNumberFormat="1" applyFont="1" applyFill="1" applyBorder="1"/>
    <xf numFmtId="0" fontId="3" fillId="0" borderId="4" xfId="0" applyFont="1" applyBorder="1"/>
    <xf numFmtId="14" fontId="3" fillId="0" borderId="4" xfId="0" applyNumberFormat="1" applyFont="1" applyBorder="1"/>
    <xf numFmtId="9" fontId="3" fillId="2" borderId="4" xfId="0" applyNumberFormat="1" applyFont="1" applyFill="1" applyBorder="1"/>
    <xf numFmtId="14" fontId="3" fillId="3" borderId="4" xfId="0" applyNumberFormat="1" applyFont="1" applyFill="1" applyBorder="1"/>
    <xf numFmtId="3" fontId="3" fillId="2" borderId="4" xfId="0" applyNumberFormat="1" applyFont="1" applyFill="1" applyBorder="1"/>
    <xf numFmtId="3" fontId="3" fillId="4" borderId="4" xfId="0" applyNumberFormat="1" applyFont="1" applyFill="1" applyBorder="1"/>
    <xf numFmtId="0" fontId="0" fillId="4" borderId="4" xfId="0" applyFill="1" applyBorder="1"/>
    <xf numFmtId="14" fontId="3" fillId="4" borderId="4" xfId="0" applyNumberFormat="1" applyFont="1" applyFill="1" applyBorder="1"/>
    <xf numFmtId="49" fontId="3" fillId="4" borderId="4" xfId="0" applyNumberFormat="1" applyFont="1" applyFill="1" applyBorder="1"/>
    <xf numFmtId="9" fontId="3" fillId="4" borderId="4" xfId="0" applyNumberFormat="1" applyFont="1" applyFill="1" applyBorder="1"/>
    <xf numFmtId="0" fontId="5" fillId="2" borderId="4" xfId="0" applyFont="1" applyFill="1" applyBorder="1"/>
    <xf numFmtId="9" fontId="3" fillId="0" borderId="4" xfId="0" applyNumberFormat="1" applyFont="1" applyBorder="1"/>
    <xf numFmtId="3" fontId="3" fillId="0" borderId="4" xfId="0" applyNumberFormat="1" applyFont="1" applyBorder="1"/>
    <xf numFmtId="3" fontId="0" fillId="2" borderId="4" xfId="0" applyNumberFormat="1" applyFill="1" applyBorder="1"/>
    <xf numFmtId="9" fontId="0" fillId="2" borderId="4" xfId="0" applyNumberFormat="1" applyFill="1" applyBorder="1"/>
    <xf numFmtId="0" fontId="1" fillId="0" borderId="4" xfId="0" applyFont="1" applyBorder="1"/>
    <xf numFmtId="0" fontId="3" fillId="5" borderId="4" xfId="0" applyFont="1" applyFill="1" applyBorder="1"/>
    <xf numFmtId="0" fontId="6" fillId="0" borderId="4" xfId="0" applyFont="1" applyBorder="1"/>
    <xf numFmtId="49" fontId="0" fillId="0" borderId="4" xfId="0" applyNumberFormat="1" applyBorder="1"/>
    <xf numFmtId="49" fontId="3" fillId="0" borderId="4" xfId="0" applyNumberFormat="1" applyFont="1" applyBorder="1"/>
    <xf numFmtId="1" fontId="3" fillId="3" borderId="4" xfId="0" applyNumberFormat="1" applyFont="1" applyFill="1" applyBorder="1" applyAlignment="1">
      <alignment horizontal="center" vertical="center"/>
    </xf>
    <xf numFmtId="0" fontId="3" fillId="0" borderId="7" xfId="0" applyFont="1" applyBorder="1"/>
    <xf numFmtId="49" fontId="0" fillId="2" borderId="4" xfId="0" applyNumberFormat="1" applyFill="1" applyBorder="1"/>
    <xf numFmtId="0" fontId="0" fillId="2" borderId="6" xfId="0" applyFill="1" applyBorder="1"/>
    <xf numFmtId="0" fontId="0" fillId="2" borderId="8" xfId="0" applyFill="1" applyBorder="1"/>
    <xf numFmtId="14" fontId="1" fillId="2" borderId="4" xfId="0" applyNumberFormat="1" applyFont="1" applyFill="1" applyBorder="1"/>
    <xf numFmtId="3" fontId="1" fillId="2" borderId="4" xfId="0" applyNumberFormat="1" applyFont="1" applyFill="1" applyBorder="1"/>
    <xf numFmtId="0" fontId="3" fillId="0" borderId="9" xfId="0" applyFont="1" applyFill="1" applyBorder="1"/>
    <xf numFmtId="0" fontId="7" fillId="4" borderId="4" xfId="0" applyFont="1" applyFill="1" applyBorder="1"/>
    <xf numFmtId="0" fontId="3" fillId="4" borderId="7" xfId="0" applyFont="1" applyFill="1" applyBorder="1"/>
    <xf numFmtId="0" fontId="1" fillId="5" borderId="4" xfId="0" applyFont="1" applyFill="1" applyBorder="1"/>
    <xf numFmtId="3" fontId="1" fillId="4" borderId="4" xfId="0" applyNumberFormat="1" applyFont="1" applyFill="1" applyBorder="1"/>
  </cellXfs>
  <cellStyles count="1">
    <cellStyle name="Normal" xfId="0" builtinId="0"/>
  </cellStyles>
  <dxfs count="38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1" displayName="Tabla1" ref="A1:AH2" totalsRowShown="0" headerRowDxfId="37" dataDxfId="35" headerRowBorderDxfId="36" tableBorderDxfId="34">
  <sortState ref="A2:AD48">
    <sortCondition ref="A6:A53"/>
  </sortState>
  <tableColumns count="34">
    <tableColumn id="24" name="Columna1" dataDxfId="33"/>
    <tableColumn id="2" name="APELLIDO Y NOMNRE" dataDxfId="32"/>
    <tableColumn id="1" name="ESTADO NUTRICIONAL" dataDxfId="31"/>
    <tableColumn id="4" name="VÍA DE ALIMENTACIÓN" dataDxfId="30"/>
    <tableColumn id="13" name="DNI" dataDxfId="29"/>
    <tableColumn id="10" name="SEXO" dataDxfId="28"/>
    <tableColumn id="34" name="Etnia" dataDxfId="27"/>
    <tableColumn id="11" name="DOMICILIO" dataDxfId="26"/>
    <tableColumn id="3" name="AG. SANITARIO" dataDxfId="25"/>
    <tableColumn id="12" name="FN" dataDxfId="24"/>
    <tableColumn id="14" name="EDAD" dataDxfId="23"/>
    <tableColumn id="20" name="PN (gr)" dataDxfId="22"/>
    <tableColumn id="21" name="TN (cm)" dataDxfId="21"/>
    <tableColumn id="22" name="EG" dataDxfId="20"/>
    <tableColumn id="5" name="FECHA INGRESO" dataDxfId="19"/>
    <tableColumn id="15" name="PESO INGRESO (kg)" dataDxfId="18"/>
    <tableColumn id="16" name="TALLA INGRESO (cm)" dataDxfId="17"/>
    <tableColumn id="25" name="P/T" dataDxfId="16"/>
    <tableColumn id="26" name="P/E" dataDxfId="15"/>
    <tableColumn id="27" name="T/E" dataDxfId="14"/>
    <tableColumn id="32" name="P/R" dataDxfId="13"/>
    <tableColumn id="6" name="FECHA EGRESO" dataDxfId="12"/>
    <tableColumn id="17" name="PESO EGRESO (kg)" dataDxfId="11"/>
    <tableColumn id="7" name="TALLA EGRESO (cm)" dataDxfId="10"/>
    <tableColumn id="28" name="P/T " dataDxfId="9"/>
    <tableColumn id="29" name="P/E " dataDxfId="8"/>
    <tableColumn id="30" name="T/E " dataDxfId="7"/>
    <tableColumn id="33" name="P/R2" dataDxfId="6"/>
    <tableColumn id="18" name="GANANCIA DE PESO (gr/d)" dataDxfId="5">
      <calculatedColumnFormula>#REF!</calculatedColumnFormula>
    </tableColumn>
    <tableColumn id="8" name="ESTADIA (días)" dataDxfId="4">
      <calculatedColumnFormula>Tabla1[[#This Row],[FECHA EGRESO]]-Tabla1[[#This Row],[FECHA INGRESO]]</calculatedColumnFormula>
    </tableColumn>
    <tableColumn id="19" name="TUTOR/A" dataDxfId="3"/>
    <tableColumn id="9" name="DX INGRESO" dataDxfId="2"/>
    <tableColumn id="23" name="Diagnostico Egreso" dataDxfId="1"/>
    <tableColumn id="31" name="FORMULA AL EGRES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13"/>
  <sheetViews>
    <sheetView tabSelected="1" workbookViewId="0">
      <selection activeCell="B2" sqref="B2"/>
    </sheetView>
  </sheetViews>
  <sheetFormatPr baseColWidth="10" defaultRowHeight="15"/>
  <cols>
    <col min="1" max="1" width="6.5703125" customWidth="1"/>
    <col min="2" max="2" width="56.28515625" customWidth="1"/>
    <col min="3" max="3" width="21.5703125" customWidth="1"/>
    <col min="8" max="8" width="34.140625" customWidth="1"/>
    <col min="9" max="9" width="22.7109375" customWidth="1"/>
    <col min="10" max="10" width="11.5703125" bestFit="1" customWidth="1"/>
    <col min="11" max="11" width="18.140625" customWidth="1"/>
    <col min="12" max="12" width="12.85546875" customWidth="1"/>
    <col min="15" max="15" width="11.5703125" bestFit="1" customWidth="1"/>
    <col min="22" max="22" width="11.5703125" bestFit="1" customWidth="1"/>
    <col min="25" max="25" width="8.85546875" customWidth="1"/>
    <col min="26" max="26" width="10.140625" customWidth="1"/>
    <col min="27" max="27" width="7.28515625" customWidth="1"/>
    <col min="28" max="28" width="6.7109375" customWidth="1"/>
    <col min="29" max="29" width="9.85546875" customWidth="1"/>
    <col min="30" max="30" width="7.42578125" customWidth="1"/>
    <col min="31" max="31" width="20.28515625" customWidth="1"/>
    <col min="32" max="32" width="119.85546875" customWidth="1"/>
    <col min="33" max="33" width="88.7109375" customWidth="1"/>
    <col min="34" max="34" width="101.85546875" customWidth="1"/>
  </cols>
  <sheetData>
    <row r="1" spans="1:38" ht="39" thickBo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56</v>
      </c>
      <c r="H1" s="1" t="s">
        <v>6</v>
      </c>
      <c r="I1" s="1" t="s">
        <v>7</v>
      </c>
      <c r="J1" s="4" t="s">
        <v>8</v>
      </c>
      <c r="K1" s="5" t="s">
        <v>9</v>
      </c>
      <c r="L1" s="1" t="s">
        <v>10</v>
      </c>
      <c r="M1" s="1" t="s">
        <v>11</v>
      </c>
      <c r="N1" s="1" t="s">
        <v>12</v>
      </c>
      <c r="O1" s="6" t="s">
        <v>13</v>
      </c>
      <c r="P1" s="6" t="s">
        <v>14</v>
      </c>
      <c r="Q1" s="6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6" t="s">
        <v>20</v>
      </c>
      <c r="W1" s="6" t="s">
        <v>21</v>
      </c>
      <c r="X1" s="6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6" t="s">
        <v>27</v>
      </c>
      <c r="AD1" s="6" t="s">
        <v>28</v>
      </c>
      <c r="AE1" s="1" t="s">
        <v>29</v>
      </c>
      <c r="AF1" s="1" t="s">
        <v>30</v>
      </c>
      <c r="AG1" s="1" t="s">
        <v>31</v>
      </c>
      <c r="AH1" s="7" t="s">
        <v>32</v>
      </c>
      <c r="AI1" s="34"/>
      <c r="AJ1" s="34"/>
      <c r="AK1" s="34"/>
      <c r="AL1" s="34"/>
    </row>
    <row r="2" spans="1:38">
      <c r="A2" s="8"/>
      <c r="B2" s="63" t="s">
        <v>108</v>
      </c>
      <c r="C2" s="10"/>
      <c r="D2" s="10"/>
      <c r="E2" s="9"/>
      <c r="F2" s="11"/>
      <c r="G2" s="11"/>
      <c r="H2" s="12"/>
      <c r="I2" s="12"/>
      <c r="J2" s="13"/>
      <c r="K2" s="14"/>
      <c r="L2" s="12"/>
      <c r="M2" s="15"/>
      <c r="N2" s="9"/>
      <c r="O2" s="16"/>
      <c r="P2" s="17"/>
      <c r="Q2" s="16"/>
      <c r="R2" s="18"/>
      <c r="S2" s="18"/>
      <c r="T2" s="18"/>
      <c r="U2" s="19"/>
      <c r="V2" s="20"/>
      <c r="W2" s="21"/>
      <c r="X2" s="22"/>
      <c r="Y2" s="22"/>
      <c r="Z2" s="22"/>
      <c r="AA2" s="22"/>
      <c r="AB2" s="22"/>
      <c r="AC2" s="23" t="e">
        <f>#REF!</f>
        <v>#REF!</v>
      </c>
      <c r="AD2" s="24">
        <f>Tabla1[[#This Row],[FECHA EGRESO]]-Tabla1[[#This Row],[FECHA INGRESO]]</f>
        <v>0</v>
      </c>
      <c r="AE2" s="25"/>
      <c r="AF2" s="26"/>
      <c r="AG2" s="25"/>
      <c r="AH2" s="22"/>
      <c r="AI2" s="34"/>
      <c r="AJ2" s="34"/>
      <c r="AK2" s="34"/>
      <c r="AL2" s="34"/>
    </row>
    <row r="3" spans="1:38" ht="15.75">
      <c r="A3" s="27"/>
      <c r="B3" s="41"/>
      <c r="C3" s="28"/>
      <c r="D3" s="27"/>
      <c r="E3" s="27"/>
      <c r="F3" s="27"/>
      <c r="G3" s="27"/>
      <c r="H3" s="27"/>
      <c r="I3" s="29"/>
      <c r="J3" s="27"/>
      <c r="K3" s="30" t="str">
        <f t="shared" ref="K3:K13" ca="1" si="0">DATEDIF(J3,TODAY(),"y")&amp;" A "&amp;DATEDIF(J3,TODAY(),"ym")&amp;" M "&amp;DATEDIF(J3,TODAY(),"md")&amp;" D"</f>
        <v>124 A 7 M 23 D</v>
      </c>
      <c r="L3" s="31"/>
      <c r="M3" s="27"/>
      <c r="N3" s="27"/>
      <c r="O3" s="27"/>
      <c r="P3" s="27"/>
      <c r="Q3" s="27"/>
      <c r="R3" s="27"/>
      <c r="S3" s="27"/>
      <c r="T3" s="27"/>
      <c r="U3" s="27"/>
      <c r="V3" s="32"/>
      <c r="W3" s="33"/>
      <c r="X3" s="33"/>
      <c r="Y3" s="33"/>
      <c r="Z3" s="33"/>
      <c r="AA3" s="33"/>
      <c r="AB3" s="33"/>
      <c r="AC3" s="33"/>
      <c r="AD3" s="33"/>
      <c r="AE3" s="27"/>
      <c r="AF3" s="32"/>
      <c r="AG3" s="27"/>
      <c r="AH3" s="27"/>
      <c r="AI3" s="34"/>
      <c r="AJ3" s="34"/>
      <c r="AK3" s="34"/>
      <c r="AL3" s="34"/>
    </row>
    <row r="4" spans="1:38">
      <c r="A4" s="44"/>
      <c r="B4" s="54" t="s">
        <v>37</v>
      </c>
      <c r="C4" s="12" t="s">
        <v>38</v>
      </c>
      <c r="D4" s="12" t="s">
        <v>35</v>
      </c>
      <c r="E4" s="12">
        <v>70198574</v>
      </c>
      <c r="F4" s="12" t="s">
        <v>36</v>
      </c>
      <c r="G4" s="12" t="s">
        <v>57</v>
      </c>
      <c r="H4" s="12" t="s">
        <v>59</v>
      </c>
      <c r="I4" s="12" t="s">
        <v>39</v>
      </c>
      <c r="J4" s="13">
        <v>45409</v>
      </c>
      <c r="K4" s="30" t="str">
        <f t="shared" ca="1" si="0"/>
        <v>0 A 3 M 27 D</v>
      </c>
      <c r="L4" s="37" t="s">
        <v>54</v>
      </c>
      <c r="M4" s="12">
        <v>48</v>
      </c>
      <c r="N4" s="12">
        <v>37</v>
      </c>
      <c r="O4" s="13">
        <v>45462</v>
      </c>
      <c r="P4" s="42">
        <v>2600</v>
      </c>
      <c r="Q4" s="12">
        <v>49</v>
      </c>
      <c r="R4" s="12">
        <v>-4.1900000000000004</v>
      </c>
      <c r="S4" s="12">
        <v>-4.8</v>
      </c>
      <c r="T4" s="12">
        <v>-4.2</v>
      </c>
      <c r="U4" s="40">
        <v>0.65</v>
      </c>
      <c r="V4" s="13">
        <v>45524</v>
      </c>
      <c r="W4" s="12"/>
      <c r="X4" s="15"/>
      <c r="Y4" s="15"/>
      <c r="Z4" s="15"/>
      <c r="AA4" s="15"/>
      <c r="AB4" s="15"/>
      <c r="AC4" s="15"/>
      <c r="AD4" s="15"/>
      <c r="AE4" s="12" t="s">
        <v>40</v>
      </c>
      <c r="AF4" s="12" t="s">
        <v>41</v>
      </c>
      <c r="AG4" s="48" t="s">
        <v>42</v>
      </c>
      <c r="AH4" s="12" t="s">
        <v>43</v>
      </c>
      <c r="AI4" s="34"/>
      <c r="AJ4" s="34"/>
      <c r="AK4" s="34"/>
      <c r="AL4" s="34"/>
    </row>
    <row r="5" spans="1:38">
      <c r="A5" s="44"/>
      <c r="B5" s="54" t="s">
        <v>53</v>
      </c>
      <c r="C5" s="36" t="s">
        <v>45</v>
      </c>
      <c r="D5" s="36" t="s">
        <v>35</v>
      </c>
      <c r="E5" s="36">
        <v>59990369</v>
      </c>
      <c r="F5" s="36" t="s">
        <v>33</v>
      </c>
      <c r="G5" s="36" t="s">
        <v>58</v>
      </c>
      <c r="H5" s="36" t="s">
        <v>46</v>
      </c>
      <c r="I5" s="36" t="s">
        <v>34</v>
      </c>
      <c r="J5" s="45">
        <v>45128</v>
      </c>
      <c r="K5" s="30" t="str">
        <f t="shared" ca="1" si="0"/>
        <v>1 A 1 M 2 D</v>
      </c>
      <c r="L5" s="46" t="s">
        <v>47</v>
      </c>
      <c r="M5" s="36">
        <v>50</v>
      </c>
      <c r="N5" s="36">
        <v>40</v>
      </c>
      <c r="O5" s="45">
        <v>45488</v>
      </c>
      <c r="P5" s="43">
        <v>7580</v>
      </c>
      <c r="Q5" s="36">
        <v>72</v>
      </c>
      <c r="R5" s="36">
        <f>--2.13</f>
        <v>2.13</v>
      </c>
      <c r="S5" s="36">
        <v>-1.92</v>
      </c>
      <c r="T5" s="36">
        <v>-0.7</v>
      </c>
      <c r="U5" s="47">
        <v>0.83</v>
      </c>
      <c r="V5" s="45">
        <v>45509</v>
      </c>
      <c r="W5" s="69">
        <v>8660</v>
      </c>
      <c r="X5" s="36">
        <v>73.5</v>
      </c>
      <c r="Y5" s="36">
        <v>-0.47</v>
      </c>
      <c r="Z5" s="36">
        <v>-0.44</v>
      </c>
      <c r="AA5" s="36">
        <v>0.26</v>
      </c>
      <c r="AB5" s="47">
        <v>0.99</v>
      </c>
      <c r="AC5" s="43">
        <v>1080</v>
      </c>
      <c r="AD5" s="36">
        <v>21</v>
      </c>
      <c r="AE5" s="36" t="s">
        <v>48</v>
      </c>
      <c r="AF5" s="36" t="s">
        <v>49</v>
      </c>
      <c r="AG5" s="36" t="s">
        <v>102</v>
      </c>
      <c r="AH5" s="36" t="s">
        <v>103</v>
      </c>
      <c r="AI5" s="34"/>
      <c r="AJ5" s="34"/>
      <c r="AK5" s="34"/>
      <c r="AL5" s="34"/>
    </row>
    <row r="6" spans="1:38">
      <c r="A6" s="44"/>
      <c r="B6" s="54" t="s">
        <v>50</v>
      </c>
      <c r="C6" s="38" t="s">
        <v>38</v>
      </c>
      <c r="D6" s="38" t="s">
        <v>55</v>
      </c>
      <c r="E6" s="38">
        <v>59938743</v>
      </c>
      <c r="F6" s="38" t="s">
        <v>36</v>
      </c>
      <c r="G6" s="38" t="s">
        <v>58</v>
      </c>
      <c r="H6" s="38" t="s">
        <v>51</v>
      </c>
      <c r="I6" s="38" t="s">
        <v>34</v>
      </c>
      <c r="J6" s="39">
        <v>45107</v>
      </c>
      <c r="K6" s="30" t="str">
        <f t="shared" ca="1" si="0"/>
        <v>1 A 1 M 24 D</v>
      </c>
      <c r="L6" s="50">
        <v>3250</v>
      </c>
      <c r="M6" s="35">
        <v>48</v>
      </c>
      <c r="N6" s="38">
        <v>39</v>
      </c>
      <c r="O6" s="39">
        <v>45503</v>
      </c>
      <c r="P6" s="50">
        <v>7400</v>
      </c>
      <c r="Q6" s="38">
        <v>70</v>
      </c>
      <c r="R6" s="38">
        <v>-1.27</v>
      </c>
      <c r="S6" s="38">
        <v>-2.2599999999999998</v>
      </c>
      <c r="T6" s="38">
        <v>-2.86</v>
      </c>
      <c r="U6" s="49">
        <v>0.89</v>
      </c>
      <c r="V6" s="45">
        <v>45526</v>
      </c>
      <c r="W6" s="69">
        <v>8980</v>
      </c>
      <c r="X6" s="36">
        <v>71.5</v>
      </c>
      <c r="Y6" s="36">
        <v>-0.71</v>
      </c>
      <c r="Z6" s="36">
        <v>-1.02</v>
      </c>
      <c r="AA6" s="36">
        <v>-2.5</v>
      </c>
      <c r="AB6" s="47">
        <v>1.05</v>
      </c>
      <c r="AC6" s="43">
        <v>1580</v>
      </c>
      <c r="AD6" s="36">
        <v>23</v>
      </c>
      <c r="AE6" s="36" t="s">
        <v>52</v>
      </c>
      <c r="AF6" s="36" t="s">
        <v>96</v>
      </c>
      <c r="AG6" s="66" t="s">
        <v>97</v>
      </c>
      <c r="AH6" s="67" t="s">
        <v>98</v>
      </c>
    </row>
    <row r="7" spans="1:38">
      <c r="A7" s="44">
        <v>1</v>
      </c>
      <c r="B7" s="12" t="s">
        <v>60</v>
      </c>
      <c r="C7" s="12" t="s">
        <v>38</v>
      </c>
      <c r="D7" s="12" t="s">
        <v>35</v>
      </c>
      <c r="E7" s="12">
        <v>59813347</v>
      </c>
      <c r="F7" s="12" t="s">
        <v>33</v>
      </c>
      <c r="G7" s="12" t="s">
        <v>58</v>
      </c>
      <c r="H7" s="12" t="s">
        <v>71</v>
      </c>
      <c r="I7" s="12" t="s">
        <v>69</v>
      </c>
      <c r="J7" s="13">
        <v>44995</v>
      </c>
      <c r="K7" s="30" t="str">
        <f t="shared" ca="1" si="0"/>
        <v>1 A 5 M 13 D</v>
      </c>
      <c r="L7" s="37" t="s">
        <v>82</v>
      </c>
      <c r="M7" s="12">
        <v>48</v>
      </c>
      <c r="N7" s="12">
        <v>40</v>
      </c>
      <c r="O7" s="13">
        <v>45509</v>
      </c>
      <c r="P7" s="64">
        <v>7690</v>
      </c>
      <c r="Q7" s="12">
        <v>73</v>
      </c>
      <c r="R7" s="12">
        <v>-1.08</v>
      </c>
      <c r="S7" s="12">
        <v>-2.21</v>
      </c>
      <c r="T7" s="12">
        <v>-2.31</v>
      </c>
      <c r="U7" s="15"/>
      <c r="V7" s="15"/>
      <c r="W7" s="15"/>
      <c r="X7" s="15"/>
      <c r="Y7" s="15"/>
      <c r="Z7" s="15"/>
      <c r="AA7" s="15"/>
      <c r="AB7" s="15"/>
      <c r="AC7" s="15"/>
      <c r="AD7" s="15"/>
      <c r="AE7" s="12" t="s">
        <v>83</v>
      </c>
      <c r="AF7" s="12" t="s">
        <v>84</v>
      </c>
      <c r="AG7" s="12" t="s">
        <v>42</v>
      </c>
      <c r="AH7" s="15"/>
    </row>
    <row r="8" spans="1:38">
      <c r="A8" s="38">
        <v>2</v>
      </c>
      <c r="B8" s="68" t="s">
        <v>61</v>
      </c>
      <c r="C8" s="53" t="s">
        <v>81</v>
      </c>
      <c r="D8" s="53" t="s">
        <v>35</v>
      </c>
      <c r="E8" s="38">
        <v>59759459</v>
      </c>
      <c r="F8" s="38" t="s">
        <v>33</v>
      </c>
      <c r="G8" s="38" t="s">
        <v>58</v>
      </c>
      <c r="H8" s="38" t="s">
        <v>65</v>
      </c>
      <c r="I8" s="38" t="s">
        <v>66</v>
      </c>
      <c r="J8" s="39">
        <v>44951</v>
      </c>
      <c r="K8" s="30" t="str">
        <f t="shared" ca="1" si="0"/>
        <v>1 A 6 M 29 D</v>
      </c>
      <c r="L8" s="56" t="s">
        <v>104</v>
      </c>
      <c r="M8" s="35">
        <v>49</v>
      </c>
      <c r="N8" s="35">
        <v>41</v>
      </c>
      <c r="O8" s="39">
        <v>45510</v>
      </c>
      <c r="P8" s="50">
        <v>7890</v>
      </c>
      <c r="Q8" s="38">
        <v>74</v>
      </c>
      <c r="R8" s="38">
        <v>-1.01</v>
      </c>
      <c r="S8" s="38">
        <v>-2.25</v>
      </c>
      <c r="T8" s="38">
        <v>-2.42</v>
      </c>
      <c r="U8" s="49">
        <v>0.88</v>
      </c>
      <c r="V8" s="39">
        <v>45527</v>
      </c>
      <c r="W8" s="50">
        <v>9440</v>
      </c>
      <c r="X8" s="38">
        <v>75</v>
      </c>
      <c r="Y8" s="38">
        <v>0.79</v>
      </c>
      <c r="Z8" s="38">
        <v>-0.32</v>
      </c>
      <c r="AA8" s="38">
        <v>-2.2000000000000002</v>
      </c>
      <c r="AB8" s="49">
        <v>1.04</v>
      </c>
      <c r="AC8" s="50">
        <v>1555</v>
      </c>
      <c r="AD8" s="38">
        <v>22</v>
      </c>
      <c r="AE8" s="38" t="s">
        <v>85</v>
      </c>
      <c r="AF8" s="38" t="s">
        <v>88</v>
      </c>
      <c r="AG8" s="38" t="s">
        <v>105</v>
      </c>
      <c r="AH8" s="38" t="s">
        <v>106</v>
      </c>
    </row>
    <row r="9" spans="1:38">
      <c r="A9" s="38">
        <v>3</v>
      </c>
      <c r="B9" s="9" t="s">
        <v>62</v>
      </c>
      <c r="C9" s="9" t="s">
        <v>45</v>
      </c>
      <c r="D9" s="9" t="s">
        <v>35</v>
      </c>
      <c r="E9" s="12">
        <v>70096673</v>
      </c>
      <c r="F9" s="12" t="s">
        <v>33</v>
      </c>
      <c r="G9" s="12" t="s">
        <v>58</v>
      </c>
      <c r="H9" s="12" t="s">
        <v>67</v>
      </c>
      <c r="I9" s="12" t="s">
        <v>34</v>
      </c>
      <c r="J9" s="13">
        <v>45246</v>
      </c>
      <c r="K9" s="58" t="str">
        <f t="shared" ca="1" si="0"/>
        <v>0 A 9 M 7 D</v>
      </c>
      <c r="L9" s="60" t="s">
        <v>89</v>
      </c>
      <c r="M9" s="15">
        <v>51</v>
      </c>
      <c r="N9" s="15">
        <v>39</v>
      </c>
      <c r="O9" s="13">
        <v>45513</v>
      </c>
      <c r="P9" s="51">
        <v>6500</v>
      </c>
      <c r="Q9" s="15">
        <v>67</v>
      </c>
      <c r="R9" s="15">
        <v>-1.68</v>
      </c>
      <c r="S9" s="15">
        <v>1.19</v>
      </c>
      <c r="T9" s="15">
        <v>-1.17</v>
      </c>
      <c r="U9" s="52">
        <v>0.83</v>
      </c>
      <c r="V9" s="15"/>
      <c r="W9" s="15"/>
      <c r="X9" s="15"/>
      <c r="Y9" s="15"/>
      <c r="Z9" s="15"/>
      <c r="AA9" s="15"/>
      <c r="AB9" s="15"/>
      <c r="AC9" s="15"/>
      <c r="AD9" s="15"/>
      <c r="AE9" s="12" t="s">
        <v>86</v>
      </c>
      <c r="AF9" s="12" t="s">
        <v>90</v>
      </c>
      <c r="AG9" s="12" t="s">
        <v>44</v>
      </c>
      <c r="AH9" s="15"/>
    </row>
    <row r="10" spans="1:38">
      <c r="A10" s="36"/>
      <c r="B10" s="54" t="s">
        <v>63</v>
      </c>
      <c r="C10" s="38" t="s">
        <v>72</v>
      </c>
      <c r="D10" s="38" t="s">
        <v>55</v>
      </c>
      <c r="E10" s="38">
        <v>59760007</v>
      </c>
      <c r="F10" s="55" t="s">
        <v>36</v>
      </c>
      <c r="G10" s="38" t="s">
        <v>58</v>
      </c>
      <c r="H10" s="38" t="s">
        <v>68</v>
      </c>
      <c r="I10" s="38" t="s">
        <v>69</v>
      </c>
      <c r="J10" s="39">
        <v>45128</v>
      </c>
      <c r="K10" s="30" t="str">
        <f t="shared" ca="1" si="0"/>
        <v>1 A 1 M 2 D</v>
      </c>
      <c r="L10" s="57" t="s">
        <v>74</v>
      </c>
      <c r="M10" s="38">
        <v>43</v>
      </c>
      <c r="N10" s="38">
        <v>36</v>
      </c>
      <c r="O10" s="39">
        <v>45511</v>
      </c>
      <c r="P10" s="50">
        <v>7890</v>
      </c>
      <c r="Q10" s="38">
        <v>72</v>
      </c>
      <c r="R10" s="38">
        <v>-1.3</v>
      </c>
      <c r="S10" s="38">
        <v>-1.75</v>
      </c>
      <c r="T10" s="38">
        <v>-1.37</v>
      </c>
      <c r="U10" s="49">
        <v>0.87</v>
      </c>
      <c r="V10" s="39">
        <v>45517</v>
      </c>
      <c r="W10" s="50">
        <v>8250</v>
      </c>
      <c r="X10" s="38">
        <v>79</v>
      </c>
      <c r="Y10" s="38">
        <v>-0.97</v>
      </c>
      <c r="Z10" s="38">
        <v>-1.58</v>
      </c>
      <c r="AA10" s="38">
        <v>-1.5</v>
      </c>
      <c r="AB10" s="49">
        <v>0.91</v>
      </c>
      <c r="AC10" s="38">
        <v>360</v>
      </c>
      <c r="AD10" s="38">
        <v>6</v>
      </c>
      <c r="AE10" s="38" t="s">
        <v>77</v>
      </c>
      <c r="AF10" s="38" t="s">
        <v>78</v>
      </c>
      <c r="AG10" s="59" t="s">
        <v>79</v>
      </c>
      <c r="AH10" s="59" t="s">
        <v>80</v>
      </c>
    </row>
    <row r="11" spans="1:38">
      <c r="A11" s="38">
        <v>4</v>
      </c>
      <c r="B11" s="12" t="s">
        <v>64</v>
      </c>
      <c r="C11" s="12" t="s">
        <v>73</v>
      </c>
      <c r="D11" s="12" t="s">
        <v>35</v>
      </c>
      <c r="E11" s="12">
        <v>589288719</v>
      </c>
      <c r="F11" s="12" t="s">
        <v>36</v>
      </c>
      <c r="G11" s="12"/>
      <c r="H11" s="12" t="s">
        <v>70</v>
      </c>
      <c r="I11" s="12" t="s">
        <v>34</v>
      </c>
      <c r="J11" s="13">
        <v>45053</v>
      </c>
      <c r="K11" s="58" t="str">
        <f t="shared" ca="1" si="0"/>
        <v>1 A 3 M 16 D</v>
      </c>
      <c r="L11" s="37" t="s">
        <v>75</v>
      </c>
      <c r="M11" s="12">
        <v>48</v>
      </c>
      <c r="N11" s="12">
        <v>40</v>
      </c>
      <c r="O11" s="13">
        <v>45519</v>
      </c>
      <c r="P11" s="12" t="s">
        <v>76</v>
      </c>
      <c r="Q11" s="12">
        <v>705</v>
      </c>
      <c r="R11" s="12">
        <v>-2.16</v>
      </c>
      <c r="S11" s="12">
        <v>-3.59</v>
      </c>
      <c r="T11" s="12">
        <v>-3.52</v>
      </c>
      <c r="U11" s="40">
        <v>0.84</v>
      </c>
      <c r="V11" s="15"/>
      <c r="W11" s="15"/>
      <c r="X11" s="15"/>
      <c r="Y11" s="15"/>
      <c r="Z11" s="15"/>
      <c r="AA11" s="15"/>
      <c r="AB11" s="15"/>
      <c r="AC11" s="15"/>
      <c r="AD11" s="15"/>
      <c r="AE11" s="12" t="s">
        <v>87</v>
      </c>
      <c r="AF11" s="15"/>
      <c r="AG11" s="61"/>
      <c r="AH11" s="62"/>
    </row>
    <row r="12" spans="1:38">
      <c r="A12" s="65">
        <v>6</v>
      </c>
      <c r="B12" s="38" t="s">
        <v>91</v>
      </c>
      <c r="C12" s="38" t="s">
        <v>73</v>
      </c>
      <c r="D12" s="38" t="s">
        <v>35</v>
      </c>
      <c r="E12" s="38">
        <v>59989750</v>
      </c>
      <c r="F12" s="38" t="s">
        <v>33</v>
      </c>
      <c r="G12" s="38" t="s">
        <v>58</v>
      </c>
      <c r="H12" s="38" t="s">
        <v>92</v>
      </c>
      <c r="I12" s="38" t="s">
        <v>34</v>
      </c>
      <c r="J12" s="39">
        <v>45094</v>
      </c>
      <c r="K12" s="58" t="str">
        <f t="shared" ca="1" si="0"/>
        <v>1 A 2 M 6 D</v>
      </c>
      <c r="L12" s="57" t="s">
        <v>93</v>
      </c>
      <c r="M12" s="38">
        <v>47</v>
      </c>
      <c r="N12" s="38">
        <v>39</v>
      </c>
      <c r="O12" s="39">
        <v>45523</v>
      </c>
      <c r="P12" s="50">
        <v>7020</v>
      </c>
      <c r="Q12" s="38">
        <v>69</v>
      </c>
      <c r="R12" s="38">
        <v>-1.03</v>
      </c>
      <c r="S12" s="38">
        <v>-2.46</v>
      </c>
      <c r="T12" s="38">
        <v>-2.78</v>
      </c>
      <c r="U12" s="49">
        <v>0.87</v>
      </c>
      <c r="V12" s="35"/>
      <c r="W12" s="35"/>
      <c r="X12" s="35"/>
      <c r="Y12" s="35"/>
      <c r="Z12" s="35"/>
      <c r="AA12" s="35"/>
      <c r="AB12" s="35"/>
      <c r="AC12" s="35"/>
      <c r="AD12" s="35"/>
      <c r="AE12" s="38" t="s">
        <v>94</v>
      </c>
      <c r="AF12" s="38" t="s">
        <v>95</v>
      </c>
      <c r="AG12" s="38" t="s">
        <v>42</v>
      </c>
      <c r="AH12" s="35"/>
    </row>
    <row r="13" spans="1:38">
      <c r="A13" s="65">
        <v>7</v>
      </c>
      <c r="B13" s="54" t="s">
        <v>99</v>
      </c>
      <c r="C13" s="12" t="s">
        <v>38</v>
      </c>
      <c r="D13" s="12" t="s">
        <v>100</v>
      </c>
      <c r="E13" s="12">
        <v>70198574</v>
      </c>
      <c r="F13" s="15" t="s">
        <v>36</v>
      </c>
      <c r="G13" s="13" t="s">
        <v>58</v>
      </c>
      <c r="H13" s="12" t="s">
        <v>59</v>
      </c>
      <c r="I13" s="12" t="s">
        <v>101</v>
      </c>
      <c r="J13" s="13">
        <v>45409</v>
      </c>
      <c r="K13" s="30" t="str">
        <f t="shared" ca="1" si="0"/>
        <v>0 A 3 M 27 D</v>
      </c>
      <c r="L13" s="37" t="s">
        <v>54</v>
      </c>
      <c r="M13" s="12">
        <v>48</v>
      </c>
      <c r="N13" s="12">
        <v>37</v>
      </c>
      <c r="O13" s="13">
        <v>45526</v>
      </c>
      <c r="P13" s="15"/>
      <c r="Q13" s="15"/>
      <c r="R13" s="15"/>
      <c r="S13" s="15"/>
      <c r="T13" s="15"/>
      <c r="U13" s="15"/>
      <c r="V13" s="38" t="s">
        <v>107</v>
      </c>
      <c r="W13" s="38" t="s">
        <v>107</v>
      </c>
      <c r="X13" s="38" t="s">
        <v>107</v>
      </c>
      <c r="Y13" s="38" t="s">
        <v>107</v>
      </c>
      <c r="Z13" s="38" t="s">
        <v>107</v>
      </c>
      <c r="AA13" s="38" t="s">
        <v>107</v>
      </c>
      <c r="AB13" s="38" t="s">
        <v>107</v>
      </c>
      <c r="AC13" s="38" t="s">
        <v>107</v>
      </c>
      <c r="AD13" s="38" t="s">
        <v>107</v>
      </c>
      <c r="AE13" s="38" t="s">
        <v>107</v>
      </c>
      <c r="AF13" s="38" t="s">
        <v>107</v>
      </c>
      <c r="AG13" s="38" t="s">
        <v>107</v>
      </c>
      <c r="AH13" s="38" t="s">
        <v>107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Nutri-Recu</dc:creator>
  <cp:lastModifiedBy>Raquel</cp:lastModifiedBy>
  <dcterms:created xsi:type="dcterms:W3CDTF">2024-07-05T11:46:38Z</dcterms:created>
  <dcterms:modified xsi:type="dcterms:W3CDTF">2024-08-23T16:49:32Z</dcterms:modified>
</cp:coreProperties>
</file>
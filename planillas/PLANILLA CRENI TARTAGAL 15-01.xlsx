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K3" i="1" l="1"/>
</calcChain>
</file>

<file path=xl/sharedStrings.xml><?xml version="1.0" encoding="utf-8"?>
<sst xmlns="http://schemas.openxmlformats.org/spreadsheetml/2006/main" count="151" uniqueCount="111">
  <si>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</si>
  <si>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</si>
  <si>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</si>
  <si>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</si>
  <si>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</si>
  <si>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</si>
  <si>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</si>
  <si>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</si>
  <si>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</si>
  <si>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</si>
  <si>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</si>
  <si>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</si>
  <si>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</si>
  <si>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</si>
  <si>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</si>
  <si>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</si>
  <si>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</si>
  <si>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</si>
  <si>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</si>
  <si>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</si>
  <si>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</si>
  <si>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</si>
  <si>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</si>
  <si>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</si>
  <si>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</si>
  <si>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</si>
  <si>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</si>
  <si>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</si>
  <si>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</si>
  <si>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</si>
  <si>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</si>
  <si>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</si>
  <si>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</si>
  <si>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</si>
  <si>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SNG</t>
  </si>
  <si>
    <t>M</t>
  </si>
  <si>
    <t>Etnia</t>
  </si>
  <si>
    <t>CRIOLLO</t>
  </si>
  <si>
    <t>DNT CRONICA</t>
  </si>
  <si>
    <t>WHICHI</t>
  </si>
  <si>
    <t xml:space="preserve">DNT CRONICA </t>
  </si>
  <si>
    <t>P 10</t>
  </si>
  <si>
    <t>INTERNADA</t>
  </si>
  <si>
    <t>DERIVACION APS</t>
  </si>
  <si>
    <t>V.O</t>
  </si>
  <si>
    <t>JUSTINIANO CELESTE  ABIGAIL</t>
  </si>
  <si>
    <t xml:space="preserve">VILLA SAVEDRA </t>
  </si>
  <si>
    <t>INTERNADO</t>
  </si>
  <si>
    <t>DNT CRONICA SECUNDARIA, DIARREA INTERMITENTE, JUDICIALIZADA, RETRASO DE PAUTAS MADURATIVAS,ARS</t>
  </si>
  <si>
    <t>ORQUIZO NICOLE</t>
  </si>
  <si>
    <t>CHOROTE</t>
  </si>
  <si>
    <t>S.V.E</t>
  </si>
  <si>
    <t>PASE DE SALA PEDIATRIA</t>
  </si>
  <si>
    <t>P10</t>
  </si>
  <si>
    <t>ECNE, DISPLASIA BRONCOPULMONAR, GASTROTOMIA, RGE SEVERO, DESNUTRICIÓN CRÓNICA MODERADA
2RIA,TRASTORNOS DEGLUTORIOS, ARS</t>
  </si>
  <si>
    <t xml:space="preserve">ORQUIZO MARCELA </t>
  </si>
  <si>
    <t xml:space="preserve">PEREZ HEBER </t>
  </si>
  <si>
    <t>MOSCONI</t>
  </si>
  <si>
    <t xml:space="preserve">PASE DE SLA DE PEDIATRIA </t>
  </si>
  <si>
    <t>DESNUTRICIÓN CRÓNICA MARASMO KWASHIORKOR, TRASTORNOS METABOLICOS, ANEMIA SEVERA, GEA EN RESOLUCIÓN</t>
  </si>
  <si>
    <t>DELMA SOLIZ</t>
  </si>
  <si>
    <t xml:space="preserve">V. O </t>
  </si>
  <si>
    <t>PASE DE SALA DE PEDOATRIA</t>
  </si>
  <si>
    <t xml:space="preserve">WHICHI </t>
  </si>
  <si>
    <t>MAMANI YESENIA ZAMIRA VIVIANA</t>
  </si>
  <si>
    <t>DESNUTRICIÓN CRÓNICA LEVE, ANEMIA CRONICA, DIARREA CRONICA</t>
  </si>
  <si>
    <t xml:space="preserve">FORMULA INDICADA EN INTERNACION F100 </t>
  </si>
  <si>
    <t>BASUALDO SAMUEL LUCINDO</t>
  </si>
  <si>
    <t> DESNUTRICIÓN CRÓNICA MODERADA REAGUDIZADA, ARS</t>
  </si>
  <si>
    <t>ALTO LA SIERRA</t>
  </si>
  <si>
    <t>PASE HOSPITAL ALTO LA SIERRA</t>
  </si>
  <si>
    <t xml:space="preserve">INTERNADO </t>
  </si>
  <si>
    <t>RECUPERADA NUTRICIONALMENTE INTOLERANCIA A LA LACTOSA TRANSITORIA</t>
  </si>
  <si>
    <t>MAMANI GABRIELA</t>
  </si>
  <si>
    <t xml:space="preserve">MIRANDA BEATRIZ </t>
  </si>
  <si>
    <t>CEBALLOS MARILINA</t>
  </si>
  <si>
    <t xml:space="preserve">FRIAS IRIS </t>
  </si>
  <si>
    <t>PASE DE SALA DE PEDIATRIA</t>
  </si>
  <si>
    <t>SIN DNI</t>
  </si>
  <si>
    <t>DESNUTRICIÓN CRÓNICA REAGUDIZADA MODERADA, TRASTORNOS METABOLICOS EN RESOLUCIÓN, GEA EN RESOLUCIÓN,</t>
  </si>
  <si>
    <t>HOGAR DE NIÑOS JUDICIALIZADA</t>
  </si>
  <si>
    <t xml:space="preserve">RECUPERADA NUTRICIONALMENTE </t>
  </si>
  <si>
    <t>P 10   25</t>
  </si>
  <si>
    <t>P25</t>
  </si>
  <si>
    <t>P 25  50</t>
  </si>
  <si>
    <t xml:space="preserve">DESNUTRICION CRONICA EN RECUPERACION </t>
  </si>
  <si>
    <t xml:space="preserve">FORMULA DE INICIO 140CC/TOMA AL 22% 6 TOMAS /D SNG </t>
  </si>
  <si>
    <t xml:space="preserve">FORMULA 0% LACTOSA 150CC/TOMA V.O </t>
  </si>
  <si>
    <t xml:space="preserve">FORMUAL ENTERA 0% LACTOSA 200C/TOMA AL 15% V.O </t>
  </si>
  <si>
    <t>GEREZ EDA</t>
  </si>
  <si>
    <t>DIAZ ESTRELLA</t>
  </si>
  <si>
    <t>ZABALA GERARDO</t>
  </si>
  <si>
    <t>KM6</t>
  </si>
  <si>
    <t>SORUCO TAMARA</t>
  </si>
  <si>
    <t>SORUCO ELIANA</t>
  </si>
  <si>
    <t xml:space="preserve">HERRERA SANDRA </t>
  </si>
  <si>
    <t>KM 6</t>
  </si>
  <si>
    <t>FORMULA INDICADA EN INTRNACION F100</t>
  </si>
  <si>
    <t>DESNUTRICIÓN CRÓNICA MODERADA REAGUDIZADA, DIARREAS INTERMITENTES</t>
  </si>
  <si>
    <t>DESNUTRICIÓN CRÓNICA REAGUDIZADA, IRA, DIARREA , ARS</t>
  </si>
  <si>
    <t xml:space="preserve"> DESNUTRICION CRONICA REAGUDIZADA MODERADA A SEVERA, IRA, ARS, DIARREA, HERNIA UMBILICAL REDUCTIBLE</t>
  </si>
  <si>
    <t>TORRES CATALEA</t>
  </si>
  <si>
    <t>DNT CRONICA REAG</t>
  </si>
  <si>
    <t>DNT RONICA REAG</t>
  </si>
  <si>
    <t>DNT  CRONICA REAG</t>
  </si>
  <si>
    <t>DNT CRONICA REAGUDIZADA</t>
  </si>
  <si>
    <t>SVE</t>
  </si>
  <si>
    <t>PASE SALA DE PEDIATRIA</t>
  </si>
  <si>
    <t>IMC 12,4 -2,7</t>
  </si>
  <si>
    <t xml:space="preserve"> DESNUTRICIÓN CRÓNICA CALORICA PROTEICA MODERADA A SEVERA, DESEQUILIBRIO DEL MEDIO INTERNO, ANEMIA MODERADA, DIARREA INTERMITENTE </t>
  </si>
  <si>
    <t xml:space="preserve">TORRES LOIDA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</si>
</sst>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sz val="9"/>
      <color rgb="FF000000"/>
      <name val="Arial"/>
      <family val="2"/>
    </font>
    <font>
      <sz val="10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0" fontId="0" fillId="0" borderId="0" xfId="0" applyBorder="1"/>
    <xf numFmtId="14" fontId="3" fillId="3" borderId="4" xfId="0" applyNumberFormat="1" applyFont="1" applyFill="1" applyBorder="1"/>
    <xf numFmtId="14" fontId="1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H2" totalsRowShown="0" headerRowDxfId="37" dataDxfId="35" headerRowBorderDxfId="36" tableBorderDxfId="34">
  <sortState ref="A2:AD48">
    <sortCondition ref="A6:A53"/>
  </sortState>
  <tableColumns count="34">
    <tableColumn id="24" name="Columna1" dataDxfId="33"/>
    <tableColumn id="2" name="APELLIDO Y NOMNRE" dataDxfId="32"/>
    <tableColumn id="1" name="ESTADO NUTRICIONAL" dataDxfId="31"/>
    <tableColumn id="4" name="VÍA DE ALIMENTACIÓN" dataDxfId="30"/>
    <tableColumn id="13" name="DNI" dataDxfId="29"/>
    <tableColumn id="10" name="SEXO" dataDxfId="28"/>
    <tableColumn id="34" name="Etnia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/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zoomScaleNormal="100" workbookViewId="0">
      <selection activeCell="A7" sqref="A7"/>
    </sheetView>
  </sheetViews>
  <sheetFormatPr baseColWidth="10" defaultRowHeight="15" x14ac:dyDescent="0.25"/>
  <cols>
    <col min="1" max="1" width="6.5703125" customWidth="1"/>
    <col min="2" max="2" width="56.28515625" customWidth="1"/>
    <col min="3" max="3" width="21.5703125" customWidth="1"/>
    <col min="8" max="8" width="34.140625" customWidth="1"/>
    <col min="9" max="9" width="22.7109375" customWidth="1"/>
    <col min="10" max="10" width="11.5703125" bestFit="1" customWidth="1"/>
    <col min="11" max="11" width="18.140625" customWidth="1"/>
    <col min="12" max="12" width="12.85546875" customWidth="1"/>
    <col min="15" max="15" width="11.5703125" bestFit="1" customWidth="1"/>
    <col min="22" max="22" width="11.5703125" bestFit="1" customWidth="1"/>
    <col min="25" max="25" width="8.85546875" customWidth="1"/>
    <col min="26" max="26" width="10.140625" customWidth="1"/>
    <col min="27" max="27" width="7.28515625" customWidth="1"/>
    <col min="28" max="28" width="6.7109375" customWidth="1"/>
    <col min="29" max="29" width="10.140625" customWidth="1"/>
    <col min="30" max="30" width="7.42578125" customWidth="1"/>
    <col min="31" max="31" width="20.28515625" customWidth="1"/>
    <col min="32" max="32" width="119.85546875" customWidth="1"/>
    <col min="33" max="33" width="88.7109375" customWidth="1"/>
    <col min="34" max="34" width="109.28515625" customWidth="1"/>
  </cols>
  <sheetData>
    <row r="1" spans="1:38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s="1" t="s">
        <v>7</v>
      </c>
      <c r="J1" s="4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7" t="s">
        <v>32</v>
      </c>
      <c r="AI1" s="33"/>
      <c r="AJ1" s="33"/>
      <c r="AK1" s="33"/>
      <c r="AL1" s="33"/>
    </row>
    <row r="2" spans="1:38" x14ac:dyDescent="0.25">
      <c r="A2" s="8"/>
      <c r="B2" s="35"/>
      <c r="C2" s="10"/>
      <c r="D2" s="10"/>
      <c r="E2" s="9"/>
      <c r="F2" s="11"/>
      <c r="G2" s="11"/>
      <c r="H2" s="12"/>
      <c r="I2" s="12"/>
      <c r="J2" s="13"/>
      <c r="K2" s="14"/>
      <c r="L2" s="12"/>
      <c r="M2" s="15"/>
      <c r="N2" s="9"/>
      <c r="O2" s="16"/>
      <c r="P2" s="17"/>
      <c r="Q2" s="16"/>
      <c r="R2" s="18"/>
      <c r="S2" s="18"/>
      <c r="T2" s="18"/>
      <c r="U2" s="19"/>
      <c r="V2" s="20"/>
      <c r="W2" s="21"/>
      <c r="X2" s="22"/>
      <c r="Y2" s="22"/>
      <c r="Z2" s="22"/>
      <c r="AA2" s="22"/>
      <c r="AB2" s="22"/>
      <c r="AC2" s="36"/>
      <c r="AD2" s="23">
        <f>Tabla1[[#This Row],[FECHA EGRESO]]-Tabla1[[#This Row],[FECHA INGRESO]]</f>
        <v>0</v>
      </c>
      <c r="AE2" s="24"/>
      <c r="AF2" s="25"/>
      <c r="AG2" s="24"/>
      <c r="AH2" s="22"/>
      <c r="AI2" s="33"/>
      <c r="AJ2" s="33"/>
      <c r="AK2" s="33"/>
      <c r="AL2" s="33"/>
    </row>
    <row r="3" spans="1:38" ht="15.75" x14ac:dyDescent="0.25">
      <c r="A3" s="26"/>
      <c r="B3" s="34"/>
      <c r="C3" s="27"/>
      <c r="D3" s="26"/>
      <c r="E3" s="26"/>
      <c r="F3" s="26"/>
      <c r="G3" s="26"/>
      <c r="H3" s="26"/>
      <c r="I3" s="28"/>
      <c r="J3" s="26"/>
      <c r="K3" s="29" t="str">
        <f ca="1">DATEDIF(J3,TODAY(),"y")&amp;" A "&amp;DATEDIF(J3,TODAY(),"ym")&amp;" M "&amp;DATEDIF(J3,TODAY(),"md")&amp;" D"</f>
        <v>125 A 0 M 15 D</v>
      </c>
      <c r="L3" s="30"/>
      <c r="M3" s="26"/>
      <c r="N3" s="26"/>
      <c r="O3" s="26"/>
      <c r="P3" s="26"/>
      <c r="Q3" s="26"/>
      <c r="R3" s="26"/>
      <c r="S3" s="26"/>
      <c r="T3" s="26"/>
      <c r="U3" s="26"/>
      <c r="V3" s="31"/>
      <c r="W3" s="32"/>
      <c r="X3" s="32"/>
      <c r="Y3" s="32"/>
      <c r="Z3" s="32"/>
      <c r="AA3" s="32"/>
      <c r="AB3" s="32"/>
      <c r="AC3" s="32"/>
      <c r="AD3" s="32"/>
      <c r="AE3" s="26"/>
      <c r="AF3" s="31"/>
      <c r="AG3" s="26"/>
      <c r="AH3" s="26"/>
      <c r="AI3" s="33"/>
      <c r="AJ3" s="33"/>
      <c r="AK3" s="33"/>
      <c r="AL3" s="33"/>
    </row>
    <row r="4" spans="1:38" ht="15.75" x14ac:dyDescent="0.3">
      <c r="B4" t="s">
        <v>45</v>
      </c>
      <c r="C4" t="s">
        <v>38</v>
      </c>
      <c r="D4" t="s">
        <v>44</v>
      </c>
      <c r="E4" s="39">
        <v>70298051</v>
      </c>
      <c r="F4" t="s">
        <v>33</v>
      </c>
      <c r="G4" t="s">
        <v>37</v>
      </c>
      <c r="H4" t="s">
        <v>46</v>
      </c>
      <c r="I4" t="s">
        <v>43</v>
      </c>
      <c r="J4" s="37">
        <v>45412</v>
      </c>
      <c r="L4">
        <v>2.42</v>
      </c>
      <c r="O4" s="37">
        <v>45636</v>
      </c>
      <c r="P4">
        <v>4.88</v>
      </c>
      <c r="Q4">
        <v>61</v>
      </c>
      <c r="R4">
        <v>-2.6</v>
      </c>
      <c r="S4">
        <v>-3.79</v>
      </c>
      <c r="T4">
        <v>-2.91</v>
      </c>
      <c r="U4">
        <v>78</v>
      </c>
      <c r="V4" s="37">
        <v>45670</v>
      </c>
      <c r="W4">
        <v>6.25</v>
      </c>
      <c r="X4">
        <v>64</v>
      </c>
      <c r="Y4">
        <v>-1.02</v>
      </c>
      <c r="Z4">
        <v>-2.15</v>
      </c>
      <c r="AA4">
        <v>-2.27</v>
      </c>
      <c r="AB4">
        <v>96</v>
      </c>
      <c r="AE4" t="s">
        <v>80</v>
      </c>
      <c r="AF4" s="38" t="s">
        <v>48</v>
      </c>
      <c r="AG4" t="s">
        <v>81</v>
      </c>
      <c r="AH4" t="s">
        <v>87</v>
      </c>
    </row>
    <row r="5" spans="1:38" ht="30.75" x14ac:dyDescent="0.3">
      <c r="B5" t="s">
        <v>49</v>
      </c>
      <c r="C5" t="s">
        <v>38</v>
      </c>
      <c r="D5" t="s">
        <v>34</v>
      </c>
      <c r="E5" s="39">
        <v>70198781</v>
      </c>
      <c r="F5" t="s">
        <v>33</v>
      </c>
      <c r="G5" t="s">
        <v>50</v>
      </c>
      <c r="H5" t="s">
        <v>51</v>
      </c>
      <c r="I5" t="s">
        <v>52</v>
      </c>
      <c r="J5" s="37">
        <v>45332</v>
      </c>
      <c r="L5">
        <v>1.55</v>
      </c>
      <c r="M5">
        <v>40</v>
      </c>
      <c r="N5">
        <v>34</v>
      </c>
      <c r="O5" s="37">
        <v>45644</v>
      </c>
      <c r="P5">
        <v>4.7699999999999996</v>
      </c>
      <c r="Q5">
        <v>62</v>
      </c>
      <c r="R5">
        <v>-3.47</v>
      </c>
      <c r="S5" t="s">
        <v>41</v>
      </c>
      <c r="T5" t="s">
        <v>53</v>
      </c>
      <c r="U5">
        <v>73</v>
      </c>
      <c r="V5" s="37">
        <v>45670</v>
      </c>
      <c r="W5">
        <v>5.51</v>
      </c>
      <c r="X5">
        <v>64</v>
      </c>
      <c r="Y5" t="s">
        <v>84</v>
      </c>
      <c r="Z5" s="41" t="s">
        <v>82</v>
      </c>
      <c r="AA5" t="s">
        <v>83</v>
      </c>
      <c r="AB5">
        <v>84</v>
      </c>
      <c r="AE5" t="s">
        <v>55</v>
      </c>
      <c r="AF5" s="40" t="s">
        <v>54</v>
      </c>
      <c r="AG5" t="s">
        <v>85</v>
      </c>
      <c r="AH5" t="s">
        <v>86</v>
      </c>
    </row>
    <row r="6" spans="1:38" x14ac:dyDescent="0.25">
      <c r="B6" t="s">
        <v>56</v>
      </c>
      <c r="C6" t="s">
        <v>38</v>
      </c>
      <c r="D6" t="s">
        <v>34</v>
      </c>
      <c r="E6" s="38">
        <v>59406296</v>
      </c>
      <c r="F6" t="s">
        <v>35</v>
      </c>
      <c r="G6" t="s">
        <v>39</v>
      </c>
      <c r="H6" t="s">
        <v>57</v>
      </c>
      <c r="I6" t="s">
        <v>58</v>
      </c>
      <c r="J6" s="37">
        <v>44912</v>
      </c>
      <c r="L6">
        <v>3.5</v>
      </c>
      <c r="M6">
        <v>50</v>
      </c>
      <c r="N6">
        <v>40</v>
      </c>
      <c r="O6" s="37">
        <v>45649</v>
      </c>
      <c r="P6">
        <v>7.28</v>
      </c>
      <c r="Q6">
        <v>80.5</v>
      </c>
      <c r="R6">
        <v>-4.57</v>
      </c>
      <c r="S6">
        <v>-4.32</v>
      </c>
      <c r="T6">
        <v>-2.2200000000000002</v>
      </c>
      <c r="U6">
        <v>66</v>
      </c>
      <c r="AE6" t="s">
        <v>60</v>
      </c>
      <c r="AF6" s="38" t="s">
        <v>59</v>
      </c>
      <c r="AG6" t="s">
        <v>47</v>
      </c>
      <c r="AH6" t="s">
        <v>66</v>
      </c>
    </row>
    <row r="7" spans="1:38" ht="15.75" x14ac:dyDescent="0.3">
      <c r="B7" t="s">
        <v>64</v>
      </c>
      <c r="C7" t="s">
        <v>40</v>
      </c>
      <c r="D7" t="s">
        <v>61</v>
      </c>
      <c r="E7" s="39">
        <v>59866527</v>
      </c>
      <c r="F7" t="s">
        <v>33</v>
      </c>
      <c r="G7" t="s">
        <v>63</v>
      </c>
      <c r="H7" t="s">
        <v>57</v>
      </c>
      <c r="I7" t="s">
        <v>62</v>
      </c>
      <c r="J7" s="37">
        <v>45619</v>
      </c>
      <c r="L7">
        <v>3.41</v>
      </c>
      <c r="M7">
        <v>50</v>
      </c>
      <c r="N7">
        <v>39</v>
      </c>
      <c r="O7" s="37">
        <v>45659</v>
      </c>
      <c r="P7">
        <v>8.83</v>
      </c>
      <c r="Q7">
        <v>76</v>
      </c>
      <c r="R7">
        <v>-0.21</v>
      </c>
      <c r="S7">
        <v>-1.62</v>
      </c>
      <c r="T7">
        <v>-2.33</v>
      </c>
      <c r="U7">
        <v>91</v>
      </c>
      <c r="V7" s="37">
        <v>45667</v>
      </c>
      <c r="W7">
        <v>9.67</v>
      </c>
      <c r="X7">
        <v>78</v>
      </c>
      <c r="Y7">
        <v>0.25</v>
      </c>
      <c r="Z7">
        <v>-0.89</v>
      </c>
      <c r="AA7">
        <v>-1.1399999999999999</v>
      </c>
      <c r="AB7">
        <v>100</v>
      </c>
      <c r="AE7" t="s">
        <v>73</v>
      </c>
      <c r="AF7" s="38" t="s">
        <v>65</v>
      </c>
      <c r="AG7" t="s">
        <v>72</v>
      </c>
      <c r="AH7" t="s">
        <v>88</v>
      </c>
    </row>
    <row r="8" spans="1:38" x14ac:dyDescent="0.25">
      <c r="B8" t="s">
        <v>67</v>
      </c>
      <c r="C8" t="s">
        <v>105</v>
      </c>
      <c r="D8" t="s">
        <v>34</v>
      </c>
      <c r="E8" s="38">
        <v>59760021</v>
      </c>
      <c r="F8" t="s">
        <v>35</v>
      </c>
      <c r="G8" t="s">
        <v>39</v>
      </c>
      <c r="H8" t="s">
        <v>69</v>
      </c>
      <c r="I8" t="s">
        <v>70</v>
      </c>
      <c r="J8" s="37">
        <v>45275</v>
      </c>
      <c r="L8">
        <v>3.8</v>
      </c>
      <c r="M8">
        <v>48</v>
      </c>
      <c r="N8">
        <v>39</v>
      </c>
      <c r="O8" s="37">
        <v>45665</v>
      </c>
      <c r="P8">
        <v>7.01</v>
      </c>
      <c r="Q8">
        <v>71</v>
      </c>
      <c r="R8">
        <v>-2.38</v>
      </c>
      <c r="S8">
        <v>-3.06</v>
      </c>
      <c r="T8">
        <v>-2.36</v>
      </c>
      <c r="U8">
        <v>77</v>
      </c>
      <c r="AE8" t="s">
        <v>74</v>
      </c>
      <c r="AF8" s="38" t="s">
        <v>68</v>
      </c>
      <c r="AG8" t="s">
        <v>71</v>
      </c>
      <c r="AH8" t="s">
        <v>66</v>
      </c>
    </row>
    <row r="9" spans="1:38" ht="15.75" x14ac:dyDescent="0.3">
      <c r="B9" t="s">
        <v>76</v>
      </c>
      <c r="C9" t="s">
        <v>102</v>
      </c>
      <c r="D9" t="s">
        <v>34</v>
      </c>
      <c r="E9" s="39" t="s">
        <v>78</v>
      </c>
      <c r="F9" t="s">
        <v>33</v>
      </c>
      <c r="G9" t="s">
        <v>39</v>
      </c>
      <c r="H9" t="s">
        <v>51</v>
      </c>
      <c r="I9" t="s">
        <v>77</v>
      </c>
      <c r="J9" s="37">
        <v>44756</v>
      </c>
      <c r="L9">
        <v>2.95</v>
      </c>
      <c r="M9">
        <v>44</v>
      </c>
      <c r="O9" s="37">
        <v>45665</v>
      </c>
      <c r="P9">
        <v>8.61</v>
      </c>
      <c r="Q9">
        <v>78</v>
      </c>
      <c r="R9">
        <v>-1.1299999999999999</v>
      </c>
      <c r="S9">
        <v>-3.24</v>
      </c>
      <c r="T9">
        <v>-3.57</v>
      </c>
      <c r="U9">
        <v>86</v>
      </c>
      <c r="AE9" t="s">
        <v>75</v>
      </c>
      <c r="AF9" s="38" t="s">
        <v>79</v>
      </c>
      <c r="AG9" t="s">
        <v>42</v>
      </c>
      <c r="AH9" t="s">
        <v>66</v>
      </c>
    </row>
    <row r="10" spans="1:38" ht="15.75" x14ac:dyDescent="0.3">
      <c r="B10" t="s">
        <v>89</v>
      </c>
      <c r="C10" t="s">
        <v>105</v>
      </c>
      <c r="D10" t="s">
        <v>34</v>
      </c>
      <c r="E10" s="39">
        <v>70096073</v>
      </c>
      <c r="F10" t="s">
        <v>33</v>
      </c>
      <c r="G10" t="s">
        <v>39</v>
      </c>
      <c r="H10" t="s">
        <v>92</v>
      </c>
      <c r="I10" t="s">
        <v>43</v>
      </c>
      <c r="J10" s="37">
        <v>45246</v>
      </c>
      <c r="L10">
        <v>3.52</v>
      </c>
      <c r="M10">
        <v>51</v>
      </c>
      <c r="N10">
        <v>39</v>
      </c>
      <c r="O10" s="37">
        <v>45664</v>
      </c>
      <c r="P10">
        <v>5.75</v>
      </c>
      <c r="Q10">
        <v>69</v>
      </c>
      <c r="R10">
        <v>-3.48</v>
      </c>
      <c r="S10">
        <v>-4</v>
      </c>
      <c r="T10">
        <v>-2.65</v>
      </c>
      <c r="U10">
        <v>71</v>
      </c>
      <c r="AE10" t="s">
        <v>94</v>
      </c>
      <c r="AF10" s="38" t="s">
        <v>100</v>
      </c>
      <c r="AG10" t="s">
        <v>42</v>
      </c>
      <c r="AH10" t="s">
        <v>66</v>
      </c>
    </row>
    <row r="11" spans="1:38" ht="15.75" x14ac:dyDescent="0.3">
      <c r="B11" t="s">
        <v>90</v>
      </c>
      <c r="C11" t="s">
        <v>104</v>
      </c>
      <c r="D11" t="s">
        <v>34</v>
      </c>
      <c r="E11" s="39">
        <v>59990421</v>
      </c>
      <c r="F11" t="s">
        <v>33</v>
      </c>
      <c r="G11" t="s">
        <v>39</v>
      </c>
      <c r="H11" t="s">
        <v>92</v>
      </c>
      <c r="I11" t="s">
        <v>43</v>
      </c>
      <c r="J11" s="37">
        <v>45145</v>
      </c>
      <c r="L11">
        <v>3.23</v>
      </c>
      <c r="M11">
        <v>50</v>
      </c>
      <c r="N11">
        <v>40</v>
      </c>
      <c r="O11" s="37">
        <v>45667</v>
      </c>
      <c r="P11">
        <v>6.91</v>
      </c>
      <c r="Q11">
        <v>71.5</v>
      </c>
      <c r="R11">
        <v>-1.87</v>
      </c>
      <c r="S11">
        <v>-3.18</v>
      </c>
      <c r="T11">
        <v>-2.91</v>
      </c>
      <c r="U11">
        <v>81</v>
      </c>
      <c r="AE11" t="s">
        <v>93</v>
      </c>
      <c r="AF11" s="38" t="s">
        <v>99</v>
      </c>
      <c r="AG11" t="s">
        <v>42</v>
      </c>
      <c r="AH11" t="s">
        <v>66</v>
      </c>
    </row>
    <row r="12" spans="1:38" ht="15.75" x14ac:dyDescent="0.3">
      <c r="B12" t="s">
        <v>91</v>
      </c>
      <c r="C12" t="s">
        <v>103</v>
      </c>
      <c r="D12" t="s">
        <v>34</v>
      </c>
      <c r="E12" s="39">
        <v>70227354</v>
      </c>
      <c r="F12" t="s">
        <v>35</v>
      </c>
      <c r="G12" t="s">
        <v>39</v>
      </c>
      <c r="H12" t="s">
        <v>96</v>
      </c>
      <c r="I12" t="s">
        <v>43</v>
      </c>
      <c r="J12" s="37">
        <v>45341</v>
      </c>
      <c r="L12">
        <v>3.35</v>
      </c>
      <c r="M12">
        <v>49</v>
      </c>
      <c r="N12">
        <v>39</v>
      </c>
      <c r="O12" s="37">
        <v>45670</v>
      </c>
      <c r="P12">
        <v>6.65</v>
      </c>
      <c r="Q12">
        <v>69</v>
      </c>
      <c r="R12">
        <v>-2.4900000000000002</v>
      </c>
      <c r="S12">
        <v>-3.09</v>
      </c>
      <c r="T12">
        <v>-2.2799999999999998</v>
      </c>
      <c r="U12">
        <v>78</v>
      </c>
      <c r="AE12" t="s">
        <v>95</v>
      </c>
      <c r="AF12" s="38" t="s">
        <v>98</v>
      </c>
      <c r="AG12" t="s">
        <v>71</v>
      </c>
      <c r="AH12" t="s">
        <v>97</v>
      </c>
    </row>
    <row r="13" spans="1:38" ht="15.75" x14ac:dyDescent="0.3">
      <c r="B13" t="s">
        <v>101</v>
      </c>
      <c r="C13" t="s">
        <v>102</v>
      </c>
      <c r="D13" t="s">
        <v>34</v>
      </c>
      <c r="E13" s="39">
        <v>59236043</v>
      </c>
      <c r="F13" t="s">
        <v>33</v>
      </c>
      <c r="G13" t="s">
        <v>39</v>
      </c>
      <c r="H13" t="s">
        <v>106</v>
      </c>
      <c r="I13" t="s">
        <v>107</v>
      </c>
      <c r="J13" s="37">
        <v>44573</v>
      </c>
      <c r="L13">
        <v>3.5</v>
      </c>
      <c r="M13">
        <v>47.5</v>
      </c>
      <c r="N13">
        <v>39</v>
      </c>
      <c r="O13" s="37">
        <v>45672</v>
      </c>
      <c r="P13">
        <v>9.4700000000000006</v>
      </c>
      <c r="Q13">
        <v>87.5</v>
      </c>
      <c r="R13" t="s">
        <v>108</v>
      </c>
      <c r="S13">
        <v>-3.13</v>
      </c>
      <c r="T13">
        <v>-2</v>
      </c>
      <c r="U13">
        <v>75</v>
      </c>
      <c r="AE13" t="s">
        <v>110</v>
      </c>
      <c r="AF13" s="38" t="s">
        <v>109</v>
      </c>
      <c r="AG13" t="s">
        <v>42</v>
      </c>
      <c r="AH13" t="s">
        <v>66</v>
      </c>
    </row>
    <row r="14" spans="1:38" x14ac:dyDescent="0.25">
      <c r="AF14" s="38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2025-01-15T16:04:09Z</dcterms:modified>
</cp:coreProperties>
</file>
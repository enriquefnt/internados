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<sst xmlns="http://schemas.openxmlformats.org/spreadsheetml/2006/main" count="142" uniqueCount="113">
  <si>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</si>
  <si>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</si>
  <si>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</si>
  <si>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</si>
  <si>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</si>
  <si>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</si>
  <si>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</si>
  <si>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</si>
  <si>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</si>
  <si>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</si>
  <si>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</si>
  <si>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</si>
  <si>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</si>
  <si>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</si>
  <si>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</si>
  <si>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</si>
  <si>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</si>
  <si>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</si>
  <si>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</si>
  <si>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</si>
  <si>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</si>
  <si>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</si>
  <si>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</si>
  <si>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</si>
  <si>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</si>
  <si>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</si>
  <si>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</si>
  <si>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</si>
  <si>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</si>
  <si>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</si>
  <si>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</si>
  <si>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</si>
  <si>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</si>
  <si>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 xml:space="preserve">DNT cronica </t>
  </si>
  <si>
    <t>F</t>
  </si>
  <si>
    <t>Consultorios Externos</t>
  </si>
  <si>
    <t>Aguirre genesis Milagro</t>
  </si>
  <si>
    <t>SNG</t>
  </si>
  <si>
    <t>Mision Sachapera Tartagal</t>
  </si>
  <si>
    <t>Aguire zulemaP Patricia</t>
  </si>
  <si>
    <t xml:space="preserve">DNT cronica Reagudizada - Sindrome genetico  Cornelia de Lange - Trastornos deglutorios </t>
  </si>
  <si>
    <t xml:space="preserve">DNT CRONICA EN TTO SINDROME GENETICO TRASTORNO DEGLUTORIO </t>
  </si>
  <si>
    <t xml:space="preserve">FORMULA NUTRILON PEPTY JR HE 180CC /TOMA AL 18% 6 TOMAS </t>
  </si>
  <si>
    <t>M</t>
  </si>
  <si>
    <t>DNT CRONICA EN TTO</t>
  </si>
  <si>
    <t>Rasputin Mendoza Luciana Sara</t>
  </si>
  <si>
    <t>Jerusalem y Mateo Mision Cherenta Tartagal</t>
  </si>
  <si>
    <t>Pediatria 1° Piso</t>
  </si>
  <si>
    <t>2,06</t>
  </si>
  <si>
    <t>Rasputin Florencia Carla</t>
  </si>
  <si>
    <t>GEA con Deshidratacion severa-DNT cronica Reagudizada -IRA-Trastornos del medio Inerno</t>
  </si>
  <si>
    <t>RECUPERADA NUTRICIONALMENTE , CELIAQUIA Y APLV E/E</t>
  </si>
  <si>
    <t xml:space="preserve">LECHE 0% LACTOSA EN FORMA DE PREPARACIONES </t>
  </si>
  <si>
    <t>lucas Beatriz Hermelida</t>
  </si>
  <si>
    <t xml:space="preserve">SNG </t>
  </si>
  <si>
    <t xml:space="preserve">Monte Sinai Salvador Mazzas pocitos </t>
  </si>
  <si>
    <t>3.070</t>
  </si>
  <si>
    <t>Sanchez Beatriz</t>
  </si>
  <si>
    <t xml:space="preserve">DNT cronica agudizada calorica proteica moderada </t>
  </si>
  <si>
    <t xml:space="preserve">Formula Entera v.o 150cc/toma al 15% </t>
  </si>
  <si>
    <t xml:space="preserve">RECUPERADA NUTRICIONALMENTE </t>
  </si>
  <si>
    <t>Suarez josefina Isabella</t>
  </si>
  <si>
    <t>cornejo</t>
  </si>
  <si>
    <t>3,14</t>
  </si>
  <si>
    <t xml:space="preserve">Milagros Isabelina </t>
  </si>
  <si>
    <t>DNTcronica calorica moderada- scabiosis- anemia cronica-ARS</t>
  </si>
  <si>
    <t>FORMULA DE INICIO 690CC AL 18% CADA 3HS V.O</t>
  </si>
  <si>
    <t>V.O</t>
  </si>
  <si>
    <t xml:space="preserve">Gonzalez Luis Antonio </t>
  </si>
  <si>
    <t>DNT cronica</t>
  </si>
  <si>
    <t>MISION LA PAZ SVE</t>
  </si>
  <si>
    <t xml:space="preserve">UTI PEDIATRIA </t>
  </si>
  <si>
    <t>2,85</t>
  </si>
  <si>
    <t xml:space="preserve">Gonzalez Nilda </t>
  </si>
  <si>
    <t xml:space="preserve">DNT cronica calorica proteica severasecundaria- Cardiopatia congenita- sindrome genetico e/e </t>
  </si>
  <si>
    <t>Continua Internado</t>
  </si>
  <si>
    <t xml:space="preserve">formula de inicio 60cc/toma al 18% cada 3hs </t>
  </si>
  <si>
    <t>Arias Mia Rocio</t>
  </si>
  <si>
    <t xml:space="preserve">DNT aguda calorica </t>
  </si>
  <si>
    <t>SAN SILVESTRE TARTAGAL</t>
  </si>
  <si>
    <t>2,780</t>
  </si>
  <si>
    <t xml:space="preserve">Moreno Angela </t>
  </si>
  <si>
    <t>DNT Aguda Calorica primaria- Impetigo- ARS</t>
  </si>
  <si>
    <t>Continua Internada</t>
  </si>
  <si>
    <t>formula de inicio</t>
  </si>
  <si>
    <t xml:space="preserve">Isquica Martina </t>
  </si>
  <si>
    <t xml:space="preserve">Dnt cronica </t>
  </si>
  <si>
    <t>B LA MERCED MOSCONI</t>
  </si>
  <si>
    <t>3,100</t>
  </si>
  <si>
    <t xml:space="preserve">Villareal Silvia </t>
  </si>
  <si>
    <t xml:space="preserve">DNT Aguda Calorica Moderada - Retraso del Neurodesarrollo -Microcefalia-Quiste simple Hepatico- Trastorno Deglutorio en estudio </t>
  </si>
  <si>
    <t xml:space="preserve">formula de inicio </t>
  </si>
  <si>
    <t xml:space="preserve">Torres Licet Maria Cristina </t>
  </si>
  <si>
    <t xml:space="preserve">F </t>
  </si>
  <si>
    <t xml:space="preserve">M LA MORA TARTAGAL </t>
  </si>
  <si>
    <t>2,32</t>
  </si>
  <si>
    <t>Torres Florencia</t>
  </si>
  <si>
    <t xml:space="preserve">DNT Proteico Calorica </t>
  </si>
  <si>
    <t xml:space="preserve">formula de inicio 65CC 7TOMA AL 18% CADA 3HS </t>
  </si>
  <si>
    <t xml:space="preserve">Tarraga Agustiba Mrtina </t>
  </si>
  <si>
    <t>DNT CRONICA</t>
  </si>
  <si>
    <t>B 9 DE JULIO</t>
  </si>
  <si>
    <t>3,04</t>
  </si>
  <si>
    <t xml:space="preserve">Tarraga Eliana </t>
  </si>
  <si>
    <t>DNT cronica calorica proteica moderada- anemia cronica- bronqueolitis leve - ars</t>
  </si>
  <si>
    <t xml:space="preserve">continua internada </t>
  </si>
  <si>
    <t xml:space="preserve">formula 0% lactosa 120cc/toma al 15% por sng </t>
  </si>
  <si>
    <t xml:space="preserve">Segundo Yanet Joselin </t>
  </si>
  <si>
    <t xml:space="preserve">M WHICHI MOSCONI </t>
  </si>
  <si>
    <t>2,04</t>
  </si>
  <si>
    <t>DESNUTRICION CRONICA ARMONICA. ANEMIA CRONICA, TBC A ESTUDIAR, ARS</t>
  </si>
  <si>
    <t xml:space="preserve">formula 0% lactosa 200cc/toma al 15% por sng </t>
  </si>
  <si>
    <t>25/06/2024 al 05/07/2024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</si>
</sst>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b/>
      <i/>
      <sz val="11"/>
      <color theme="1"/>
      <name val="Aharoni"/>
      <charset val="177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3" fontId="3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/>
    <xf numFmtId="9" fontId="3" fillId="2" borderId="4" xfId="0" applyNumberFormat="1" applyFont="1" applyFill="1" applyBorder="1"/>
    <xf numFmtId="9" fontId="0" fillId="2" borderId="4" xfId="0" applyNumberFormat="1" applyFill="1" applyBorder="1"/>
    <xf numFmtId="0" fontId="5" fillId="2" borderId="4" xfId="0" applyFont="1" applyFill="1" applyBorder="1"/>
    <xf numFmtId="0" fontId="3" fillId="4" borderId="4" xfId="0" applyFont="1" applyFill="1" applyBorder="1"/>
    <xf numFmtId="3" fontId="3" fillId="2" borderId="7" xfId="0" applyNumberFormat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14" fontId="0" fillId="2" borderId="4" xfId="0" applyNumberFormat="1" applyFill="1" applyBorder="1"/>
    <xf numFmtId="0" fontId="1" fillId="0" borderId="4" xfId="0" applyFont="1" applyBorder="1"/>
    <xf numFmtId="1" fontId="3" fillId="5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3" fillId="5" borderId="4" xfId="0" applyFont="1" applyFill="1" applyBorder="1"/>
    <xf numFmtId="0" fontId="5" fillId="5" borderId="4" xfId="0" applyFont="1" applyFill="1" applyBorder="1"/>
    <xf numFmtId="14" fontId="3" fillId="5" borderId="4" xfId="0" applyNumberFormat="1" applyFont="1" applyFill="1" applyBorder="1"/>
    <xf numFmtId="49" fontId="3" fillId="5" borderId="4" xfId="0" applyNumberFormat="1" applyFont="1" applyFill="1" applyBorder="1"/>
    <xf numFmtId="3" fontId="3" fillId="5" borderId="4" xfId="0" applyNumberFormat="1" applyFont="1" applyFill="1" applyBorder="1"/>
    <xf numFmtId="9" fontId="3" fillId="5" borderId="4" xfId="0" applyNumberFormat="1" applyFont="1" applyFill="1" applyBorder="1"/>
    <xf numFmtId="14" fontId="0" fillId="5" borderId="4" xfId="0" applyNumberFormat="1" applyFill="1" applyBorder="1"/>
    <xf numFmtId="0" fontId="0" fillId="5" borderId="4" xfId="0" applyFill="1" applyBorder="1"/>
    <xf numFmtId="9" fontId="0" fillId="5" borderId="4" xfId="0" applyNumberFormat="1" applyFill="1" applyBorder="1"/>
    <xf numFmtId="0" fontId="6" fillId="0" borderId="4" xfId="0" applyFont="1" applyBorder="1"/>
    <xf numFmtId="0" fontId="0" fillId="6" borderId="4" xfId="0" applyFill="1" applyBorder="1"/>
    <xf numFmtId="0" fontId="0" fillId="0" borderId="0" xfId="0" applyBorder="1"/>
    <xf numFmtId="0" fontId="0" fillId="6" borderId="0" xfId="0" applyFill="1" applyBorder="1"/>
    <xf numFmtId="0" fontId="0" fillId="0" borderId="8" xfId="0" applyFill="1" applyBorder="1"/>
    <xf numFmtId="0" fontId="0" fillId="0" borderId="0" xfId="0" applyFill="1" applyBorder="1"/>
    <xf numFmtId="14" fontId="0" fillId="0" borderId="0" xfId="0" applyNumberFormat="1" applyBorder="1"/>
    <xf numFmtId="49" fontId="0" fillId="0" borderId="0" xfId="0" applyNumberFormat="1"/>
    <xf numFmtId="14" fontId="0" fillId="0" borderId="0" xfId="0" applyNumberFormat="1"/>
    <xf numFmtId="0" fontId="0" fillId="2" borderId="8" xfId="0" applyFill="1" applyBorder="1"/>
    <xf numFmtId="9" fontId="0" fillId="0" borderId="0" xfId="0" applyNumberFormat="1"/>
    <xf numFmtId="0" fontId="5" fillId="5" borderId="8" xfId="0" applyFont="1" applyFill="1" applyBorder="1"/>
    <xf numFmtId="0" fontId="5" fillId="2" borderId="8" xfId="0" applyFont="1" applyFill="1" applyBorder="1"/>
    <xf numFmtId="0" fontId="0" fillId="4" borderId="0" xfId="0" applyFill="1" applyBorder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G2" insertRow="1" totalsRowShown="0" headerRowDxfId="36" dataDxfId="35" headerRowBorderDxfId="33" tableBorderDxfId="34">
  <sortState ref="A2:AD48">
    <sortCondition ref="A6:A53"/>
  </sortState>
  <tableColumns count="33">
    <tableColumn id="24" name="Columna1" dataDxfId="32"/>
    <tableColumn id="2" name="APELLIDO Y NOMNRE" dataDxfId="31"/>
    <tableColumn id="1" name="ESTADO NUTRICIONAL" dataDxfId="30"/>
    <tableColumn id="4" name="VÍA DE ALIMENTACIÓN" dataDxfId="29"/>
    <tableColumn id="13" name="DNI" dataDxfId="28"/>
    <tableColumn id="10" name="SEXO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>
      <calculatedColumnFormula>#REF!</calculatedColumnFormula>
    </tableColumn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tabSelected="1" workbookViewId="0">
      <selection activeCell="C16" sqref="C16"/>
    </sheetView>
  </sheetViews>
  <sheetFormatPr baseColWidth="10" defaultRowHeight="15" x14ac:dyDescent="0.25"/>
  <sheetData>
    <row r="1" spans="1:33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7" t="s">
        <v>32</v>
      </c>
    </row>
    <row r="2" spans="1:33" x14ac:dyDescent="0.25">
      <c r="A2" s="8"/>
      <c r="B2" s="9"/>
      <c r="C2" s="10"/>
      <c r="D2" s="10"/>
      <c r="E2" s="9"/>
      <c r="F2" s="11"/>
      <c r="G2" s="12"/>
      <c r="H2" s="12"/>
      <c r="I2" s="13"/>
      <c r="J2" s="14"/>
      <c r="K2" s="12"/>
      <c r="L2" s="15"/>
      <c r="M2" s="9"/>
      <c r="N2" s="16"/>
      <c r="O2" s="17"/>
      <c r="P2" s="16"/>
      <c r="Q2" s="18"/>
      <c r="R2" s="18"/>
      <c r="S2" s="18"/>
      <c r="T2" s="19"/>
      <c r="U2" s="20"/>
      <c r="V2" s="21"/>
      <c r="W2" s="22"/>
      <c r="X2" s="22"/>
      <c r="Y2" s="22"/>
      <c r="Z2" s="22"/>
      <c r="AA2" s="22"/>
      <c r="AB2" s="23"/>
      <c r="AC2" s="24"/>
      <c r="AD2" s="25"/>
      <c r="AE2" s="26"/>
      <c r="AF2" s="25"/>
      <c r="AG2" s="22"/>
    </row>
    <row r="3" spans="1:33" ht="15.75" x14ac:dyDescent="0.25">
      <c r="A3" s="27"/>
      <c r="B3" s="28" t="s">
        <v>112</v>
      </c>
      <c r="C3" s="27"/>
      <c r="D3" s="27"/>
      <c r="E3" s="27"/>
      <c r="F3" s="27"/>
      <c r="G3" s="27"/>
      <c r="H3" s="29"/>
      <c r="I3" s="27"/>
      <c r="J3" s="30" t="str">
        <f t="shared" ref="J3:J6" ca="1" si="0">DATEDIF(I3,TODAY(),"y")&amp;" A "&amp;DATEDIF(I3,TODAY(),"ym")&amp;" M "&amp;DATEDIF(I3,TODAY(),"md")&amp;" D"</f>
        <v>124 A 6 M 5 D</v>
      </c>
      <c r="K3" s="31"/>
      <c r="L3" s="27"/>
      <c r="M3" s="27"/>
      <c r="N3" s="27"/>
      <c r="O3" s="27"/>
      <c r="P3" s="27"/>
      <c r="Q3" s="27"/>
      <c r="R3" s="27"/>
      <c r="S3" s="27"/>
      <c r="T3" s="27"/>
      <c r="U3" s="32"/>
      <c r="V3" s="33"/>
      <c r="W3" s="33"/>
      <c r="X3" s="33"/>
      <c r="Y3" s="33"/>
      <c r="Z3" s="33"/>
      <c r="AA3" s="33"/>
      <c r="AB3" s="33"/>
      <c r="AC3" s="33"/>
      <c r="AD3" s="27"/>
      <c r="AE3" s="32"/>
      <c r="AF3" s="27"/>
      <c r="AG3" s="27"/>
    </row>
    <row r="4" spans="1:33" x14ac:dyDescent="0.25">
      <c r="A4" s="9"/>
      <c r="B4" s="40" t="s">
        <v>36</v>
      </c>
      <c r="C4" s="12" t="s">
        <v>33</v>
      </c>
      <c r="D4" s="12" t="s">
        <v>37</v>
      </c>
      <c r="E4" s="12">
        <v>57355675</v>
      </c>
      <c r="F4" s="12" t="s">
        <v>34</v>
      </c>
      <c r="G4" s="12" t="s">
        <v>38</v>
      </c>
      <c r="H4" s="12" t="s">
        <v>35</v>
      </c>
      <c r="I4" s="13">
        <v>43377</v>
      </c>
      <c r="J4" s="35" t="str">
        <f t="shared" ca="1" si="0"/>
        <v>5 A 9 M 1 D</v>
      </c>
      <c r="K4" s="41">
        <v>1650</v>
      </c>
      <c r="L4" s="42">
        <v>37.5</v>
      </c>
      <c r="M4" s="42">
        <v>40</v>
      </c>
      <c r="N4" s="13">
        <v>45432</v>
      </c>
      <c r="O4" s="34">
        <v>9040</v>
      </c>
      <c r="P4" s="12">
        <v>86</v>
      </c>
      <c r="Q4" s="12">
        <v>-2.48</v>
      </c>
      <c r="R4" s="12">
        <v>-5</v>
      </c>
      <c r="S4" s="12">
        <v>5.4</v>
      </c>
      <c r="T4" s="37">
        <v>0.78</v>
      </c>
      <c r="U4" s="43">
        <v>45468</v>
      </c>
      <c r="V4" s="15">
        <v>9.4700000000000006</v>
      </c>
      <c r="W4" s="15">
        <v>86</v>
      </c>
      <c r="X4" s="15">
        <v>-1.9</v>
      </c>
      <c r="Y4" s="15">
        <v>-5</v>
      </c>
      <c r="Z4" s="15">
        <v>-5</v>
      </c>
      <c r="AA4" s="38">
        <v>0.86</v>
      </c>
      <c r="AB4" s="15"/>
      <c r="AC4" s="15"/>
      <c r="AD4" s="12" t="s">
        <v>39</v>
      </c>
      <c r="AE4" s="12" t="s">
        <v>40</v>
      </c>
      <c r="AF4" s="39" t="s">
        <v>41</v>
      </c>
      <c r="AG4" s="15" t="s">
        <v>42</v>
      </c>
    </row>
    <row r="5" spans="1:33" x14ac:dyDescent="0.25">
      <c r="A5" s="9"/>
      <c r="B5" s="40" t="s">
        <v>45</v>
      </c>
      <c r="C5" s="12" t="s">
        <v>33</v>
      </c>
      <c r="D5" s="12" t="s">
        <v>37</v>
      </c>
      <c r="E5" s="12">
        <v>59812431</v>
      </c>
      <c r="F5" s="12" t="s">
        <v>34</v>
      </c>
      <c r="G5" s="12" t="s">
        <v>46</v>
      </c>
      <c r="H5" s="12" t="s">
        <v>47</v>
      </c>
      <c r="I5" s="13">
        <v>44972</v>
      </c>
      <c r="J5" s="13" t="str">
        <f t="shared" ca="1" si="0"/>
        <v>1 A 4 M 20 D</v>
      </c>
      <c r="K5" s="36" t="s">
        <v>48</v>
      </c>
      <c r="L5" s="15"/>
      <c r="M5" s="9">
        <v>35</v>
      </c>
      <c r="N5" s="13">
        <v>45435</v>
      </c>
      <c r="O5" s="34">
        <v>6640</v>
      </c>
      <c r="P5" s="12">
        <v>73</v>
      </c>
      <c r="Q5" s="12">
        <v>-3.08</v>
      </c>
      <c r="R5" s="12">
        <v>-2.99</v>
      </c>
      <c r="S5" s="12">
        <v>-1.37</v>
      </c>
      <c r="T5" s="37">
        <v>0.83</v>
      </c>
      <c r="U5" s="43">
        <v>45477</v>
      </c>
      <c r="V5" s="15">
        <v>8.69</v>
      </c>
      <c r="W5" s="15">
        <v>75</v>
      </c>
      <c r="X5" s="15">
        <v>-0.36</v>
      </c>
      <c r="Y5" s="15">
        <v>-0.94</v>
      </c>
      <c r="Z5" s="15">
        <v>-1.17</v>
      </c>
      <c r="AA5" s="38">
        <v>0.95</v>
      </c>
      <c r="AB5" s="15"/>
      <c r="AC5" s="15"/>
      <c r="AD5" s="12" t="s">
        <v>49</v>
      </c>
      <c r="AE5" s="12" t="s">
        <v>50</v>
      </c>
      <c r="AF5" s="39" t="s">
        <v>51</v>
      </c>
      <c r="AG5" s="15" t="s">
        <v>52</v>
      </c>
    </row>
    <row r="6" spans="1:33" x14ac:dyDescent="0.25">
      <c r="A6" s="44"/>
      <c r="B6" s="40" t="s">
        <v>53</v>
      </c>
      <c r="C6" s="47" t="s">
        <v>33</v>
      </c>
      <c r="D6" s="47" t="s">
        <v>54</v>
      </c>
      <c r="E6" s="47">
        <v>59711607</v>
      </c>
      <c r="F6" s="47" t="s">
        <v>34</v>
      </c>
      <c r="G6" s="47" t="s">
        <v>55</v>
      </c>
      <c r="H6" s="47" t="s">
        <v>35</v>
      </c>
      <c r="I6" s="49">
        <v>44916</v>
      </c>
      <c r="J6" s="45" t="str">
        <f t="shared" ca="1" si="0"/>
        <v>1 A 6 M 14 D</v>
      </c>
      <c r="K6" s="50" t="s">
        <v>56</v>
      </c>
      <c r="L6" s="47">
        <v>46</v>
      </c>
      <c r="M6" s="47">
        <v>39</v>
      </c>
      <c r="N6" s="49">
        <v>45441</v>
      </c>
      <c r="O6" s="51">
        <v>6600</v>
      </c>
      <c r="P6" s="47">
        <v>71</v>
      </c>
      <c r="Q6" s="47">
        <v>-2.74</v>
      </c>
      <c r="R6" s="47">
        <v>-3.56</v>
      </c>
      <c r="S6" s="47">
        <v>-3.42</v>
      </c>
      <c r="T6" s="52">
        <v>0.77</v>
      </c>
      <c r="U6" s="53">
        <v>45471</v>
      </c>
      <c r="V6" s="54">
        <v>8.81</v>
      </c>
      <c r="W6" s="54">
        <v>73</v>
      </c>
      <c r="X6" s="54">
        <v>-1.3</v>
      </c>
      <c r="Y6" s="54">
        <v>-2.3199999999999998</v>
      </c>
      <c r="Z6" s="54">
        <v>-2.72</v>
      </c>
      <c r="AA6" s="55">
        <v>0.9</v>
      </c>
      <c r="AB6" s="46"/>
      <c r="AC6" s="46"/>
      <c r="AD6" s="56" t="s">
        <v>57</v>
      </c>
      <c r="AE6" s="47" t="s">
        <v>58</v>
      </c>
      <c r="AF6" s="48" t="s">
        <v>44</v>
      </c>
      <c r="AG6" s="46" t="s">
        <v>59</v>
      </c>
    </row>
    <row r="7" spans="1:33" x14ac:dyDescent="0.25">
      <c r="A7" s="9"/>
      <c r="B7" s="40" t="s">
        <v>61</v>
      </c>
      <c r="C7" s="12" t="s">
        <v>33</v>
      </c>
      <c r="D7" s="15" t="s">
        <v>37</v>
      </c>
      <c r="E7" s="15"/>
      <c r="F7" s="12" t="s">
        <v>34</v>
      </c>
      <c r="G7" s="15" t="s">
        <v>62</v>
      </c>
      <c r="H7" s="15" t="s">
        <v>35</v>
      </c>
      <c r="I7" s="43">
        <v>45295</v>
      </c>
      <c r="J7" s="43"/>
      <c r="K7" s="36" t="s">
        <v>63</v>
      </c>
      <c r="L7" s="15">
        <v>50</v>
      </c>
      <c r="M7" s="15">
        <v>39</v>
      </c>
      <c r="N7" s="43">
        <v>45450</v>
      </c>
      <c r="O7" s="15">
        <v>4.2</v>
      </c>
      <c r="P7" s="15">
        <v>57.3</v>
      </c>
      <c r="Q7" s="15">
        <v>-2.8</v>
      </c>
      <c r="R7" s="15">
        <v>-3.78</v>
      </c>
      <c r="S7" s="15">
        <v>-3</v>
      </c>
      <c r="T7" s="38">
        <v>0.77</v>
      </c>
      <c r="U7" s="43">
        <v>45469</v>
      </c>
      <c r="V7" s="15">
        <v>5.18</v>
      </c>
      <c r="W7" s="15">
        <v>58</v>
      </c>
      <c r="X7" s="15">
        <v>-1.03</v>
      </c>
      <c r="Y7" s="15">
        <v>-2.71</v>
      </c>
      <c r="Z7" s="15">
        <v>-3.2</v>
      </c>
      <c r="AA7" s="38">
        <v>0.94</v>
      </c>
      <c r="AB7" s="15"/>
      <c r="AC7" s="15"/>
      <c r="AD7" s="15" t="s">
        <v>64</v>
      </c>
      <c r="AE7" s="15" t="s">
        <v>65</v>
      </c>
      <c r="AF7" s="39" t="s">
        <v>60</v>
      </c>
      <c r="AG7" s="15" t="s">
        <v>66</v>
      </c>
    </row>
    <row r="8" spans="1:33" x14ac:dyDescent="0.25">
      <c r="A8" s="15"/>
      <c r="B8" s="57" t="s">
        <v>68</v>
      </c>
      <c r="C8" s="15" t="s">
        <v>69</v>
      </c>
      <c r="D8" s="15" t="s">
        <v>37</v>
      </c>
      <c r="E8" s="15">
        <v>70198574</v>
      </c>
      <c r="F8" s="15" t="s">
        <v>43</v>
      </c>
      <c r="G8" s="15" t="s">
        <v>70</v>
      </c>
      <c r="H8" s="15" t="s">
        <v>71</v>
      </c>
      <c r="I8" s="43">
        <v>45409</v>
      </c>
      <c r="J8" s="43"/>
      <c r="K8" s="36" t="s">
        <v>72</v>
      </c>
      <c r="L8" s="15">
        <v>48</v>
      </c>
      <c r="M8" s="15">
        <v>37</v>
      </c>
      <c r="N8" s="43">
        <v>45462</v>
      </c>
      <c r="O8" s="15">
        <v>2.6</v>
      </c>
      <c r="P8" s="15">
        <v>49</v>
      </c>
      <c r="Q8" s="15">
        <v>-4.1900000000000004</v>
      </c>
      <c r="R8" s="15">
        <v>-4.8</v>
      </c>
      <c r="S8" s="15">
        <v>-4.2</v>
      </c>
      <c r="T8" s="38">
        <v>0.65</v>
      </c>
      <c r="U8" s="15"/>
      <c r="V8" s="15"/>
      <c r="W8" s="15"/>
      <c r="X8" s="15"/>
      <c r="Y8" s="15"/>
      <c r="Z8" s="15"/>
      <c r="AA8" s="15"/>
      <c r="AB8" s="15"/>
      <c r="AC8" s="15"/>
      <c r="AD8" s="15" t="s">
        <v>73</v>
      </c>
      <c r="AE8" s="15" t="s">
        <v>74</v>
      </c>
      <c r="AF8" s="39" t="s">
        <v>75</v>
      </c>
      <c r="AG8" s="15" t="s">
        <v>76</v>
      </c>
    </row>
    <row r="9" spans="1:33" x14ac:dyDescent="0.25">
      <c r="A9" s="58"/>
      <c r="B9" s="59" t="s">
        <v>77</v>
      </c>
      <c r="C9" s="58" t="s">
        <v>78</v>
      </c>
      <c r="D9" s="60" t="s">
        <v>67</v>
      </c>
      <c r="E9" s="60">
        <v>70298049</v>
      </c>
      <c r="F9" s="61" t="s">
        <v>34</v>
      </c>
      <c r="G9" s="60" t="s">
        <v>79</v>
      </c>
      <c r="H9" s="60" t="s">
        <v>35</v>
      </c>
      <c r="I9" s="62">
        <v>45398</v>
      </c>
      <c r="J9" s="62"/>
      <c r="K9" s="63" t="s">
        <v>80</v>
      </c>
      <c r="L9">
        <v>50</v>
      </c>
      <c r="M9">
        <v>42</v>
      </c>
      <c r="N9" s="64">
        <v>45468</v>
      </c>
      <c r="O9" s="65">
        <v>3.87</v>
      </c>
      <c r="P9" s="65">
        <v>55</v>
      </c>
      <c r="Q9" s="65">
        <v>-2.3199999999999998</v>
      </c>
      <c r="R9" s="65">
        <v>-2.4700000000000002</v>
      </c>
      <c r="S9" s="60">
        <v>-1.4</v>
      </c>
      <c r="T9" s="66">
        <v>0.78</v>
      </c>
      <c r="AD9" s="60" t="s">
        <v>81</v>
      </c>
      <c r="AE9" s="60" t="s">
        <v>82</v>
      </c>
      <c r="AF9" s="67" t="s">
        <v>83</v>
      </c>
      <c r="AG9" s="60" t="s">
        <v>84</v>
      </c>
    </row>
    <row r="10" spans="1:33" x14ac:dyDescent="0.25">
      <c r="A10" s="58"/>
      <c r="B10" s="59" t="s">
        <v>85</v>
      </c>
      <c r="C10" s="58" t="s">
        <v>86</v>
      </c>
      <c r="D10" s="65" t="s">
        <v>37</v>
      </c>
      <c r="E10" s="65">
        <v>70197551</v>
      </c>
      <c r="F10" s="61" t="s">
        <v>34</v>
      </c>
      <c r="G10" s="65" t="s">
        <v>87</v>
      </c>
      <c r="H10" s="65" t="s">
        <v>35</v>
      </c>
      <c r="I10" s="62">
        <v>45310</v>
      </c>
      <c r="J10" s="62"/>
      <c r="K10" s="63" t="s">
        <v>88</v>
      </c>
      <c r="L10">
        <v>49</v>
      </c>
      <c r="M10">
        <v>38</v>
      </c>
      <c r="N10" s="64">
        <v>45468</v>
      </c>
      <c r="O10" s="65">
        <v>4.59</v>
      </c>
      <c r="P10" s="65">
        <v>61</v>
      </c>
      <c r="Q10" s="65">
        <v>-3.46</v>
      </c>
      <c r="R10" s="65">
        <v>-3.45</v>
      </c>
      <c r="S10" s="65">
        <v>-1.58</v>
      </c>
      <c r="T10" s="66">
        <v>0.74</v>
      </c>
      <c r="AD10" s="65" t="s">
        <v>89</v>
      </c>
      <c r="AE10" s="65" t="s">
        <v>90</v>
      </c>
      <c r="AF10" s="68" t="s">
        <v>83</v>
      </c>
      <c r="AG10" s="65" t="s">
        <v>91</v>
      </c>
    </row>
    <row r="11" spans="1:33" x14ac:dyDescent="0.25">
      <c r="A11" s="58"/>
      <c r="B11" s="69" t="s">
        <v>92</v>
      </c>
      <c r="C11" s="58" t="s">
        <v>69</v>
      </c>
      <c r="D11" s="60" t="s">
        <v>37</v>
      </c>
      <c r="E11" s="60">
        <v>70298124</v>
      </c>
      <c r="F11" s="58" t="s">
        <v>93</v>
      </c>
      <c r="G11" s="60" t="s">
        <v>94</v>
      </c>
      <c r="H11" s="60" t="s">
        <v>35</v>
      </c>
      <c r="I11" s="62">
        <v>45428</v>
      </c>
      <c r="J11" s="62"/>
      <c r="K11" s="63" t="s">
        <v>95</v>
      </c>
      <c r="L11">
        <v>45</v>
      </c>
      <c r="M11">
        <v>35</v>
      </c>
      <c r="N11" s="64">
        <v>45468</v>
      </c>
      <c r="O11" s="65">
        <v>3.08</v>
      </c>
      <c r="P11" s="65">
        <v>48.5</v>
      </c>
      <c r="Q11" s="65">
        <v>-0.42</v>
      </c>
      <c r="R11" s="65">
        <v>-0.8</v>
      </c>
      <c r="S11" s="60">
        <v>-0.9</v>
      </c>
      <c r="T11" s="66">
        <v>0.84</v>
      </c>
      <c r="U11" s="64">
        <v>45477</v>
      </c>
      <c r="V11">
        <v>3.24</v>
      </c>
      <c r="W11">
        <v>50</v>
      </c>
      <c r="X11">
        <v>-1</v>
      </c>
      <c r="Y11">
        <v>-0.8</v>
      </c>
      <c r="Z11">
        <v>-0.7</v>
      </c>
      <c r="AA11" s="66">
        <v>0.94</v>
      </c>
      <c r="AD11" s="60" t="s">
        <v>96</v>
      </c>
      <c r="AE11" s="60" t="s">
        <v>97</v>
      </c>
      <c r="AF11" s="67" t="s">
        <v>60</v>
      </c>
      <c r="AG11" s="60" t="s">
        <v>98</v>
      </c>
    </row>
    <row r="12" spans="1:33" x14ac:dyDescent="0.25">
      <c r="A12" s="58"/>
      <c r="B12" s="59" t="s">
        <v>99</v>
      </c>
      <c r="C12" s="61" t="s">
        <v>100</v>
      </c>
      <c r="D12" s="65" t="s">
        <v>37</v>
      </c>
      <c r="E12" s="65">
        <v>70039361</v>
      </c>
      <c r="F12" s="61" t="s">
        <v>93</v>
      </c>
      <c r="G12" s="65" t="s">
        <v>101</v>
      </c>
      <c r="H12" s="65" t="s">
        <v>35</v>
      </c>
      <c r="I12" s="62">
        <v>45169</v>
      </c>
      <c r="J12" s="62"/>
      <c r="K12" s="63" t="s">
        <v>102</v>
      </c>
      <c r="L12">
        <v>46.5</v>
      </c>
      <c r="M12">
        <v>39</v>
      </c>
      <c r="N12" s="64">
        <v>45475</v>
      </c>
      <c r="O12" s="65">
        <v>5.84</v>
      </c>
      <c r="P12" s="65">
        <v>65</v>
      </c>
      <c r="Q12" s="65">
        <v>-2.13</v>
      </c>
      <c r="R12" s="65">
        <v>-3.15</v>
      </c>
      <c r="S12" s="65">
        <v>-2.65</v>
      </c>
      <c r="T12" s="66">
        <v>0.79</v>
      </c>
      <c r="AD12" s="65" t="s">
        <v>103</v>
      </c>
      <c r="AE12" s="65" t="s">
        <v>104</v>
      </c>
      <c r="AF12" s="68" t="s">
        <v>105</v>
      </c>
      <c r="AG12" s="65" t="s">
        <v>106</v>
      </c>
    </row>
    <row r="13" spans="1:33" x14ac:dyDescent="0.25">
      <c r="A13" s="58"/>
      <c r="B13" s="59" t="s">
        <v>107</v>
      </c>
      <c r="C13" s="61" t="s">
        <v>100</v>
      </c>
      <c r="D13" s="60" t="s">
        <v>37</v>
      </c>
      <c r="E13" s="60">
        <v>59428115</v>
      </c>
      <c r="F13" s="61" t="s">
        <v>34</v>
      </c>
      <c r="G13" s="60" t="s">
        <v>108</v>
      </c>
      <c r="H13" s="60" t="s">
        <v>47</v>
      </c>
      <c r="I13" s="62">
        <v>44721</v>
      </c>
      <c r="J13" s="62"/>
      <c r="K13" s="63" t="s">
        <v>109</v>
      </c>
      <c r="L13">
        <v>44</v>
      </c>
      <c r="M13">
        <v>37</v>
      </c>
      <c r="N13" s="64">
        <v>45476</v>
      </c>
      <c r="O13" s="65">
        <v>8.7799999999999994</v>
      </c>
      <c r="P13" s="65">
        <v>77</v>
      </c>
      <c r="Q13" s="65">
        <v>-2.88</v>
      </c>
      <c r="R13" s="65">
        <v>-2.37</v>
      </c>
      <c r="S13" s="60">
        <v>-2.88</v>
      </c>
      <c r="T13" s="66">
        <v>0.93</v>
      </c>
      <c r="AE13" t="s">
        <v>110</v>
      </c>
      <c r="AF13" s="67" t="s">
        <v>105</v>
      </c>
      <c r="AG13" s="60" t="s">
        <v>111</v>
      </c>
    </row>
    <row r="14" spans="1:33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62"/>
      <c r="K14" s="63"/>
    </row>
    <row r="15" spans="1:33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62"/>
      <c r="K15" s="6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2024-07-05T11:56:12Z</dcterms:modified>
</cp:coreProperties>
</file>
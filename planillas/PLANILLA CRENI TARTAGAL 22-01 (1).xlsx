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tri-Recu\Desktop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K3" i="1" l="1"/>
</calcChain>
</file>

<file path=xl/sharedStrings.xml><?xml version="1.0" encoding="utf-8"?>
<sst xmlns="http://schemas.openxmlformats.org/spreadsheetml/2006/main" count="147" uniqueCount="105">
  <si>
    <t>Columna1</t>
  </si>
  <si>
    <t>APELLIDO Y NOMNRE</t>
  </si>
  <si>
    <t>ESTADO NUTRICIONAL</t>
  </si>
  <si>
    <t>VÍA DE ALIMENTACIÓN</t>
  </si>
  <si>
    <t>DNI</t>
  </si>
  <si>
    <t>SEXO</t>
  </si>
  <si>
    <t>DOMICILIO</t>
  </si>
  <si>
    <t>AG. SANITARIO</t>
  </si>
  <si>
    <t>FN</t>
  </si>
  <si>
    <t>EDAD</t>
  </si>
  <si>
    <t>PN (gr)</t>
  </si>
  <si>
    <t>TN (cm)</t>
  </si>
  <si>
    <t>EG</t>
  </si>
  <si>
    <t>FECHA INGRESO</t>
  </si>
  <si>
    <t>PESO INGRESO (kg)</t>
  </si>
  <si>
    <t>TALLA INGRESO (cm)</t>
  </si>
  <si>
    <t>P/T</t>
  </si>
  <si>
    <t>P/E</t>
  </si>
  <si>
    <t>T/E</t>
  </si>
  <si>
    <t>P/R</t>
  </si>
  <si>
    <t>FECHA EGRESO</t>
  </si>
  <si>
    <t>PESO EGRESO (kg)</t>
  </si>
  <si>
    <t>TALLA EGRESO (cm)</t>
  </si>
  <si>
    <t xml:space="preserve">P/T </t>
  </si>
  <si>
    <t xml:space="preserve">P/E </t>
  </si>
  <si>
    <t xml:space="preserve">T/E </t>
  </si>
  <si>
    <t>P/R2</t>
  </si>
  <si>
    <t>GANANCIA DE PESO (gr/d)</t>
  </si>
  <si>
    <t>ESTADIA (días)</t>
  </si>
  <si>
    <t>TUTOR/A</t>
  </si>
  <si>
    <t>DX INGRESO</t>
  </si>
  <si>
    <t>Diagnostico Egreso</t>
  </si>
  <si>
    <t>FORMULA AL EGRESO</t>
  </si>
  <si>
    <t>F</t>
  </si>
  <si>
    <t>SNG</t>
  </si>
  <si>
    <t>M</t>
  </si>
  <si>
    <t>Etnia</t>
  </si>
  <si>
    <t>DNT CRONICA</t>
  </si>
  <si>
    <t>WHICHI</t>
  </si>
  <si>
    <t>INTERNADA</t>
  </si>
  <si>
    <t>DERIVACION APS</t>
  </si>
  <si>
    <t>INTERNADO</t>
  </si>
  <si>
    <t>S.V.E</t>
  </si>
  <si>
    <t xml:space="preserve">PEREZ HEBER </t>
  </si>
  <si>
    <t>MOSCONI</t>
  </si>
  <si>
    <t xml:space="preserve">PASE DE SLA DE PEDIATRIA </t>
  </si>
  <si>
    <t>DESNUTRICIÓN CRÓNICA MARASMO KWASHIORKOR, TRASTORNOS METABOLICOS, ANEMIA SEVERA, GEA EN RESOLUCIÓN</t>
  </si>
  <si>
    <t>DELMA SOLIZ</t>
  </si>
  <si>
    <t xml:space="preserve">WHICHI </t>
  </si>
  <si>
    <t xml:space="preserve">FORMULA INDICADA EN INTERNACION F100 </t>
  </si>
  <si>
    <t>BASUALDO SAMUEL LUCINDO</t>
  </si>
  <si>
    <t> DESNUTRICIÓN CRÓNICA MODERADA REAGUDIZADA, ARS</t>
  </si>
  <si>
    <t>ALTO LA SIERRA</t>
  </si>
  <si>
    <t>PASE HOSPITAL ALTO LA SIERRA</t>
  </si>
  <si>
    <t xml:space="preserve">INTERNADO </t>
  </si>
  <si>
    <t xml:space="preserve">MIRANDA BEATRIZ </t>
  </si>
  <si>
    <t>CEBALLOS MARILINA</t>
  </si>
  <si>
    <t xml:space="preserve">FRIAS IRIS </t>
  </si>
  <si>
    <t>PASE DE SALA DE PEDIATRIA</t>
  </si>
  <si>
    <t>SIN DNI</t>
  </si>
  <si>
    <t>DESNUTRICIÓN CRÓNICA REAGUDIZADA MODERADA, TRASTORNOS METABOLICOS EN RESOLUCIÓN, GEA EN RESOLUCIÓN,</t>
  </si>
  <si>
    <t xml:space="preserve">RECUPERADA NUTRICIONALMENTE </t>
  </si>
  <si>
    <t>GEREZ EDA</t>
  </si>
  <si>
    <t>DIAZ ESTRELLA</t>
  </si>
  <si>
    <t>ZABALA GERARDO</t>
  </si>
  <si>
    <t>KM6</t>
  </si>
  <si>
    <t>SORUCO TAMARA</t>
  </si>
  <si>
    <t>SORUCO ELIANA</t>
  </si>
  <si>
    <t xml:space="preserve">HERRERA SANDRA </t>
  </si>
  <si>
    <t>KM 6</t>
  </si>
  <si>
    <t>FORMULA INDICADA EN INTRNACION F100</t>
  </si>
  <si>
    <t>DESNUTRICIÓN CRÓNICA MODERADA REAGUDIZADA, DIARREAS INTERMITENTES</t>
  </si>
  <si>
    <t>DESNUTRICIÓN CRÓNICA REAGUDIZADA, IRA, DIARREA , ARS</t>
  </si>
  <si>
    <t xml:space="preserve"> DESNUTRICION CRONICA REAGUDIZADA MODERADA A SEVERA, IRA, ARS, DIARREA, HERNIA UMBILICAL REDUCTIBLE</t>
  </si>
  <si>
    <t>TORRES CATALEA</t>
  </si>
  <si>
    <t>DNT CRONICA REAG</t>
  </si>
  <si>
    <t>DNT RONICA REAG</t>
  </si>
  <si>
    <t>DNT  CRONICA REAG</t>
  </si>
  <si>
    <t>DNT CRONICA REAGUDIZADA</t>
  </si>
  <si>
    <t>SVE</t>
  </si>
  <si>
    <t>PASE SALA DE PEDIATRIA</t>
  </si>
  <si>
    <t>IMC 12,4 -2,7</t>
  </si>
  <si>
    <t xml:space="preserve"> DESNUTRICIÓN CRÓNICA CALORICA PROTEICA MODERADA A SEVERA, DESEQUILIBRIO DEL MEDIO INTERNO, ANEMIA MODERADA, DIARREA INTERMITENTE </t>
  </si>
  <si>
    <t xml:space="preserve">TORRES LOIDA </t>
  </si>
  <si>
    <t xml:space="preserve">FRIAS PATRICIA </t>
  </si>
  <si>
    <t>7 ( PESO SECO)</t>
  </si>
  <si>
    <t>DESNUTRICIÓN MARASMO KWASHIORKOR, ANEMIA CRÓNICA, GEA Y TRASTORNOS DEL MEDIO INTERNO EN RESOLUCIÓN</t>
  </si>
  <si>
    <t>FORMULA INDICCADA EN INTERNACION F100</t>
  </si>
  <si>
    <t>DNT CRONCA REAG</t>
  </si>
  <si>
    <t>PASE DE SALA DE PDIATRIA</t>
  </si>
  <si>
    <t>PACARA</t>
  </si>
  <si>
    <t>TORRES SILVIA</t>
  </si>
  <si>
    <t xml:space="preserve">CUELLAR RICARDO ROMERO JUNIOR </t>
  </si>
  <si>
    <t>SALVADOR MAZZA</t>
  </si>
  <si>
    <t>FORMUAL INDICADA EN INTERNACION F100</t>
  </si>
  <si>
    <t xml:space="preserve">PEREZ TORRES MARIA LUCIA </t>
  </si>
  <si>
    <t>DESNUTRICION CRONICA CALORICA MODERADA, GEA, ANEMIA CRONICA</t>
  </si>
  <si>
    <t xml:space="preserve">INTERNDA </t>
  </si>
  <si>
    <t>FORMLA INDICADA EN INTERNACION F75 F100</t>
  </si>
  <si>
    <t>RECUPERADA NURICIONALMENTE</t>
  </si>
  <si>
    <t xml:space="preserve">RECUPERADO NUTRICIONALMENTE </t>
  </si>
  <si>
    <t>ROMERO ELENA</t>
  </si>
  <si>
    <t>DESNTRICION CRONICA REAGUDIZADA  SOSPECHA DE ABANDONO (MALTRATO INFANITIL) IRAB ARS</t>
  </si>
  <si>
    <t xml:space="preserve">LA MORA </t>
  </si>
  <si>
    <t xml:space="preserve">TORES LUCIA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</si>
</sst>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sz val="9"/>
      <color rgb="FF000000"/>
      <name val="Arial"/>
      <family val="2"/>
    </font>
    <font>
      <sz val="10"/>
      <color rgb="FF000000"/>
      <name val="Trebuchet MS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4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3" borderId="4" xfId="0" applyFont="1" applyFill="1" applyBorder="1"/>
    <xf numFmtId="0" fontId="0" fillId="3" borderId="4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6" xfId="0" applyFill="1" applyBorder="1"/>
    <xf numFmtId="0" fontId="4" fillId="3" borderId="4" xfId="0" applyFont="1" applyFill="1" applyBorder="1"/>
    <xf numFmtId="0" fontId="0" fillId="0" borderId="0" xfId="0" applyBorder="1"/>
    <xf numFmtId="14" fontId="3" fillId="3" borderId="4" xfId="0" applyNumberFormat="1" applyFont="1" applyFill="1" applyBorder="1"/>
    <xf numFmtId="14" fontId="1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" displayName="Tabla1" ref="A1:AH2" totalsRowShown="0" headerRowDxfId="37" dataDxfId="35" headerRowBorderDxfId="36" tableBorderDxfId="34">
  <sortState ref="A2:AD48">
    <sortCondition ref="A6:A53"/>
  </sortState>
  <tableColumns count="34">
    <tableColumn id="24" name="Columna1" dataDxfId="33"/>
    <tableColumn id="2" name="APELLIDO Y NOMNRE" dataDxfId="32"/>
    <tableColumn id="1" name="ESTADO NUTRICIONAL" dataDxfId="31"/>
    <tableColumn id="4" name="VÍA DE ALIMENTACIÓN" dataDxfId="30"/>
    <tableColumn id="13" name="DNI" dataDxfId="29"/>
    <tableColumn id="10" name="SEXO" dataDxfId="28"/>
    <tableColumn id="34" name="Etnia" dataDxfId="27"/>
    <tableColumn id="11" name="DOMICILIO" dataDxfId="26"/>
    <tableColumn id="3" name="AG. SANITARIO" dataDxfId="25"/>
    <tableColumn id="12" name="FN" dataDxfId="24"/>
    <tableColumn id="14" name="EDAD" dataDxfId="23"/>
    <tableColumn id="20" name="PN (gr)" dataDxfId="22"/>
    <tableColumn id="21" name="TN (cm)" dataDxfId="21"/>
    <tableColumn id="22" name="EG" dataDxfId="20"/>
    <tableColumn id="5" name="FECHA INGRESO" dataDxfId="19"/>
    <tableColumn id="15" name="PESO INGRESO (kg)" dataDxfId="18"/>
    <tableColumn id="16" name="TALLA INGRESO (cm)" dataDxfId="17"/>
    <tableColumn id="25" name="P/T" dataDxfId="16"/>
    <tableColumn id="26" name="P/E" dataDxfId="15"/>
    <tableColumn id="27" name="T/E" dataDxfId="14"/>
    <tableColumn id="32" name="P/R" dataDxfId="13"/>
    <tableColumn id="6" name="FECHA EGRESO" dataDxfId="12"/>
    <tableColumn id="17" name="PESO EGRESO (kg)" dataDxfId="11"/>
    <tableColumn id="7" name="TALLA EGRESO (cm)" dataDxfId="10"/>
    <tableColumn id="28" name="P/T " dataDxfId="9"/>
    <tableColumn id="29" name="P/E " dataDxfId="8"/>
    <tableColumn id="30" name="T/E " dataDxfId="7"/>
    <tableColumn id="33" name="P/R2" dataDxfId="6"/>
    <tableColumn id="18" name="GANANCIA DE PESO (gr/d)" dataDxfId="5"/>
    <tableColumn id="8" name="ESTADIA (días)" dataDxfId="4">
      <calculatedColumnFormula>Tabla1[[#This Row],[FECHA EGRESO]]-Tabla1[[#This Row],[FECHA INGRESO]]</calculatedColumnFormula>
    </tableColumn>
    <tableColumn id="19" name="TUTOR/A" dataDxfId="3"/>
    <tableColumn id="9" name="DX INGRESO" dataDxfId="2"/>
    <tableColumn id="23" name="Diagnostico Egreso" dataDxfId="1"/>
    <tableColumn id="31" name="FORMULA AL EGR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"/>
  <sheetViews>
    <sheetView tabSelected="1" zoomScaleNormal="100" workbookViewId="0">
      <selection activeCell="AG9" sqref="AG9"/>
    </sheetView>
  </sheetViews>
  <sheetFormatPr baseColWidth="10" defaultRowHeight="15" x14ac:dyDescent="0.25"/>
  <cols>
    <col min="1" max="1" width="6.5703125" customWidth="1"/>
    <col min="2" max="2" width="56.28515625" customWidth="1"/>
    <col min="3" max="3" width="21.5703125" customWidth="1"/>
    <col min="8" max="8" width="34.140625" customWidth="1"/>
    <col min="9" max="9" width="22.7109375" customWidth="1"/>
    <col min="10" max="10" width="11.5703125" bestFit="1" customWidth="1"/>
    <col min="11" max="11" width="18.140625" customWidth="1"/>
    <col min="12" max="12" width="12.85546875" customWidth="1"/>
    <col min="15" max="15" width="11.5703125" bestFit="1" customWidth="1"/>
    <col min="22" max="22" width="11.5703125" bestFit="1" customWidth="1"/>
    <col min="25" max="25" width="8.85546875" customWidth="1"/>
    <col min="26" max="26" width="10.140625" customWidth="1"/>
    <col min="27" max="27" width="7.28515625" customWidth="1"/>
    <col min="28" max="28" width="6.7109375" customWidth="1"/>
    <col min="29" max="29" width="10.140625" customWidth="1"/>
    <col min="30" max="30" width="7.42578125" customWidth="1"/>
    <col min="31" max="31" width="20.28515625" customWidth="1"/>
    <col min="32" max="32" width="119.85546875" customWidth="1"/>
    <col min="33" max="33" width="88.7109375" customWidth="1"/>
    <col min="34" max="34" width="109.28515625" customWidth="1"/>
  </cols>
  <sheetData>
    <row r="1" spans="1:38" ht="39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36</v>
      </c>
      <c r="H1" s="1" t="s">
        <v>6</v>
      </c>
      <c r="I1" s="1" t="s">
        <v>7</v>
      </c>
      <c r="J1" s="4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6" t="s">
        <v>20</v>
      </c>
      <c r="W1" s="6" t="s">
        <v>21</v>
      </c>
      <c r="X1" s="6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7" t="s">
        <v>32</v>
      </c>
      <c r="AI1" s="33"/>
      <c r="AJ1" s="33"/>
      <c r="AK1" s="33"/>
      <c r="AL1" s="33"/>
    </row>
    <row r="2" spans="1:38" x14ac:dyDescent="0.25">
      <c r="A2" s="8"/>
      <c r="B2" s="35"/>
      <c r="C2" s="10"/>
      <c r="D2" s="10"/>
      <c r="E2" s="9"/>
      <c r="F2" s="11"/>
      <c r="G2" s="11"/>
      <c r="H2" s="12"/>
      <c r="I2" s="12"/>
      <c r="J2" s="13"/>
      <c r="K2" s="14"/>
      <c r="L2" s="12"/>
      <c r="M2" s="15"/>
      <c r="N2" s="9"/>
      <c r="O2" s="16"/>
      <c r="P2" s="17"/>
      <c r="Q2" s="16"/>
      <c r="R2" s="18"/>
      <c r="S2" s="18"/>
      <c r="T2" s="18"/>
      <c r="U2" s="19"/>
      <c r="V2" s="20"/>
      <c r="W2" s="21"/>
      <c r="X2" s="22"/>
      <c r="Y2" s="22"/>
      <c r="Z2" s="22"/>
      <c r="AA2" s="22"/>
      <c r="AB2" s="22"/>
      <c r="AC2" s="36"/>
      <c r="AD2" s="23">
        <f>Tabla1[[#This Row],[FECHA EGRESO]]-Tabla1[[#This Row],[FECHA INGRESO]]</f>
        <v>0</v>
      </c>
      <c r="AE2" s="24"/>
      <c r="AF2" s="25"/>
      <c r="AG2" s="24"/>
      <c r="AH2" s="22"/>
      <c r="AI2" s="33"/>
      <c r="AJ2" s="33"/>
      <c r="AK2" s="33"/>
      <c r="AL2" s="33"/>
    </row>
    <row r="3" spans="1:38" ht="15.75" x14ac:dyDescent="0.25">
      <c r="A3" s="26"/>
      <c r="B3" s="34"/>
      <c r="C3" s="27"/>
      <c r="D3" s="26"/>
      <c r="E3" s="26"/>
      <c r="F3" s="26"/>
      <c r="G3" s="26"/>
      <c r="H3" s="26"/>
      <c r="I3" s="28"/>
      <c r="J3" s="26"/>
      <c r="K3" s="29" t="str">
        <f ca="1">DATEDIF(J3,TODAY(),"y")&amp;" A "&amp;DATEDIF(J3,TODAY(),"ym")&amp;" M "&amp;DATEDIF(J3,TODAY(),"md")&amp;" D"</f>
        <v>125 A 0 M 22 D</v>
      </c>
      <c r="L3" s="30"/>
      <c r="M3" s="26"/>
      <c r="N3" s="26"/>
      <c r="O3" s="26"/>
      <c r="P3" s="26"/>
      <c r="Q3" s="26"/>
      <c r="R3" s="26"/>
      <c r="S3" s="26"/>
      <c r="T3" s="26"/>
      <c r="U3" s="26"/>
      <c r="V3" s="31"/>
      <c r="W3" s="32"/>
      <c r="X3" s="32"/>
      <c r="Y3" s="32"/>
      <c r="Z3" s="32"/>
      <c r="AA3" s="32"/>
      <c r="AB3" s="32"/>
      <c r="AC3" s="32"/>
      <c r="AD3" s="32"/>
      <c r="AE3" s="26"/>
      <c r="AF3" s="31"/>
      <c r="AG3" s="26"/>
      <c r="AH3" s="26"/>
      <c r="AI3" s="33"/>
      <c r="AJ3" s="33"/>
      <c r="AK3" s="33"/>
      <c r="AL3" s="33"/>
    </row>
    <row r="4" spans="1:38" x14ac:dyDescent="0.25">
      <c r="B4" t="s">
        <v>43</v>
      </c>
      <c r="C4" t="s">
        <v>37</v>
      </c>
      <c r="D4" t="s">
        <v>34</v>
      </c>
      <c r="E4" s="38">
        <v>59406296</v>
      </c>
      <c r="F4" t="s">
        <v>35</v>
      </c>
      <c r="G4" t="s">
        <v>38</v>
      </c>
      <c r="H4" t="s">
        <v>44</v>
      </c>
      <c r="I4" t="s">
        <v>45</v>
      </c>
      <c r="J4" s="37">
        <v>44912</v>
      </c>
      <c r="L4">
        <v>3.5</v>
      </c>
      <c r="M4">
        <v>50</v>
      </c>
      <c r="N4">
        <v>40</v>
      </c>
      <c r="O4" s="37">
        <v>45649</v>
      </c>
      <c r="P4">
        <v>7.28</v>
      </c>
      <c r="Q4">
        <v>80.5</v>
      </c>
      <c r="R4">
        <v>-4.57</v>
      </c>
      <c r="S4">
        <v>-4.32</v>
      </c>
      <c r="T4">
        <v>-2.2200000000000002</v>
      </c>
      <c r="U4">
        <v>66</v>
      </c>
      <c r="AE4" t="s">
        <v>47</v>
      </c>
      <c r="AF4" s="38" t="s">
        <v>46</v>
      </c>
      <c r="AG4" t="s">
        <v>41</v>
      </c>
      <c r="AH4" t="s">
        <v>49</v>
      </c>
    </row>
    <row r="5" spans="1:38" x14ac:dyDescent="0.25">
      <c r="B5" t="s">
        <v>50</v>
      </c>
      <c r="C5" t="s">
        <v>78</v>
      </c>
      <c r="D5" t="s">
        <v>34</v>
      </c>
      <c r="E5" s="38">
        <v>59760021</v>
      </c>
      <c r="F5" t="s">
        <v>35</v>
      </c>
      <c r="G5" t="s">
        <v>38</v>
      </c>
      <c r="H5" t="s">
        <v>52</v>
      </c>
      <c r="I5" t="s">
        <v>53</v>
      </c>
      <c r="J5" s="37">
        <v>45275</v>
      </c>
      <c r="L5">
        <v>3.8</v>
      </c>
      <c r="M5">
        <v>48</v>
      </c>
      <c r="N5">
        <v>39</v>
      </c>
      <c r="O5" s="37">
        <v>45665</v>
      </c>
      <c r="P5">
        <v>7.01</v>
      </c>
      <c r="Q5">
        <v>71</v>
      </c>
      <c r="R5">
        <v>-2.38</v>
      </c>
      <c r="S5">
        <v>-3.06</v>
      </c>
      <c r="T5">
        <v>-2.36</v>
      </c>
      <c r="U5">
        <v>77</v>
      </c>
      <c r="V5" s="37">
        <v>45679</v>
      </c>
      <c r="W5">
        <v>8.25</v>
      </c>
      <c r="X5">
        <v>72</v>
      </c>
      <c r="Y5">
        <v>-0.56999999999999995</v>
      </c>
      <c r="Z5">
        <v>-1.6</v>
      </c>
      <c r="AA5">
        <v>-2.14</v>
      </c>
      <c r="AB5">
        <v>92</v>
      </c>
      <c r="AE5" t="s">
        <v>55</v>
      </c>
      <c r="AF5" s="38" t="s">
        <v>51</v>
      </c>
      <c r="AG5" t="s">
        <v>100</v>
      </c>
      <c r="AH5" t="s">
        <v>49</v>
      </c>
    </row>
    <row r="6" spans="1:38" ht="15.75" x14ac:dyDescent="0.3">
      <c r="B6" t="s">
        <v>57</v>
      </c>
      <c r="C6" t="s">
        <v>75</v>
      </c>
      <c r="D6" t="s">
        <v>34</v>
      </c>
      <c r="E6" s="39" t="s">
        <v>59</v>
      </c>
      <c r="F6" t="s">
        <v>33</v>
      </c>
      <c r="G6" t="s">
        <v>38</v>
      </c>
      <c r="H6" t="s">
        <v>42</v>
      </c>
      <c r="I6" t="s">
        <v>58</v>
      </c>
      <c r="J6" s="37">
        <v>44756</v>
      </c>
      <c r="L6">
        <v>2.95</v>
      </c>
      <c r="M6">
        <v>44</v>
      </c>
      <c r="O6" s="37">
        <v>45665</v>
      </c>
      <c r="P6">
        <v>8.61</v>
      </c>
      <c r="Q6">
        <v>78</v>
      </c>
      <c r="R6">
        <v>-1.1299999999999999</v>
      </c>
      <c r="S6">
        <v>-3.24</v>
      </c>
      <c r="T6">
        <v>-3.57</v>
      </c>
      <c r="U6">
        <v>86</v>
      </c>
      <c r="V6" s="37">
        <v>45313</v>
      </c>
      <c r="W6">
        <v>10.29</v>
      </c>
      <c r="X6">
        <v>79</v>
      </c>
      <c r="Y6">
        <v>0.24</v>
      </c>
      <c r="Z6">
        <v>-2.4</v>
      </c>
      <c r="AA6">
        <v>-3.3</v>
      </c>
      <c r="AB6">
        <v>100</v>
      </c>
      <c r="AE6" t="s">
        <v>56</v>
      </c>
      <c r="AF6" s="38" t="s">
        <v>60</v>
      </c>
      <c r="AG6" t="s">
        <v>99</v>
      </c>
      <c r="AH6" t="s">
        <v>49</v>
      </c>
    </row>
    <row r="7" spans="1:38" ht="15.75" x14ac:dyDescent="0.3">
      <c r="B7" t="s">
        <v>62</v>
      </c>
      <c r="C7" t="s">
        <v>78</v>
      </c>
      <c r="D7" t="s">
        <v>34</v>
      </c>
      <c r="E7" s="39">
        <v>70096073</v>
      </c>
      <c r="F7" t="s">
        <v>33</v>
      </c>
      <c r="G7" t="s">
        <v>38</v>
      </c>
      <c r="H7" t="s">
        <v>65</v>
      </c>
      <c r="I7" t="s">
        <v>40</v>
      </c>
      <c r="J7" s="37">
        <v>45246</v>
      </c>
      <c r="L7">
        <v>3.52</v>
      </c>
      <c r="M7">
        <v>51</v>
      </c>
      <c r="N7">
        <v>39</v>
      </c>
      <c r="O7" s="37">
        <v>45664</v>
      </c>
      <c r="P7">
        <v>5.75</v>
      </c>
      <c r="Q7">
        <v>69</v>
      </c>
      <c r="R7">
        <v>-3.48</v>
      </c>
      <c r="S7">
        <v>-4</v>
      </c>
      <c r="T7">
        <v>-2.65</v>
      </c>
      <c r="U7">
        <v>71</v>
      </c>
      <c r="AE7" t="s">
        <v>67</v>
      </c>
      <c r="AF7" s="38" t="s">
        <v>73</v>
      </c>
      <c r="AG7" t="s">
        <v>39</v>
      </c>
      <c r="AH7" t="s">
        <v>49</v>
      </c>
    </row>
    <row r="8" spans="1:38" ht="15.75" x14ac:dyDescent="0.3">
      <c r="B8" t="s">
        <v>63</v>
      </c>
      <c r="C8" t="s">
        <v>77</v>
      </c>
      <c r="D8" t="s">
        <v>34</v>
      </c>
      <c r="E8" s="39">
        <v>59990421</v>
      </c>
      <c r="F8" t="s">
        <v>33</v>
      </c>
      <c r="G8" t="s">
        <v>38</v>
      </c>
      <c r="H8" t="s">
        <v>65</v>
      </c>
      <c r="I8" t="s">
        <v>40</v>
      </c>
      <c r="J8" s="37">
        <v>45145</v>
      </c>
      <c r="L8">
        <v>3.23</v>
      </c>
      <c r="M8">
        <v>50</v>
      </c>
      <c r="N8">
        <v>40</v>
      </c>
      <c r="O8" s="37">
        <v>45667</v>
      </c>
      <c r="P8">
        <v>6.91</v>
      </c>
      <c r="Q8">
        <v>71.5</v>
      </c>
      <c r="R8">
        <v>-1.87</v>
      </c>
      <c r="S8">
        <v>-3.18</v>
      </c>
      <c r="T8">
        <v>-2.91</v>
      </c>
      <c r="U8">
        <v>81</v>
      </c>
      <c r="V8" s="37">
        <v>45677</v>
      </c>
      <c r="W8">
        <v>8.3699999999999992</v>
      </c>
      <c r="X8">
        <v>74</v>
      </c>
      <c r="Y8">
        <v>-0.36</v>
      </c>
      <c r="Z8">
        <v>-1.58</v>
      </c>
      <c r="AA8">
        <v>-2.15</v>
      </c>
      <c r="AB8">
        <v>98</v>
      </c>
      <c r="AE8" t="s">
        <v>66</v>
      </c>
      <c r="AF8" s="38" t="s">
        <v>72</v>
      </c>
      <c r="AG8" t="s">
        <v>61</v>
      </c>
      <c r="AH8" t="s">
        <v>49</v>
      </c>
    </row>
    <row r="9" spans="1:38" ht="15.75" x14ac:dyDescent="0.3">
      <c r="B9" t="s">
        <v>64</v>
      </c>
      <c r="C9" t="s">
        <v>76</v>
      </c>
      <c r="D9" t="s">
        <v>34</v>
      </c>
      <c r="E9" s="39">
        <v>70227354</v>
      </c>
      <c r="F9" t="s">
        <v>35</v>
      </c>
      <c r="G9" t="s">
        <v>38</v>
      </c>
      <c r="H9" t="s">
        <v>69</v>
      </c>
      <c r="I9" t="s">
        <v>40</v>
      </c>
      <c r="J9" s="37">
        <v>45341</v>
      </c>
      <c r="L9">
        <v>3.35</v>
      </c>
      <c r="M9">
        <v>49</v>
      </c>
      <c r="N9">
        <v>39</v>
      </c>
      <c r="O9" s="37">
        <v>45670</v>
      </c>
      <c r="P9">
        <v>6.65</v>
      </c>
      <c r="Q9">
        <v>69</v>
      </c>
      <c r="R9">
        <v>-2.4900000000000002</v>
      </c>
      <c r="S9">
        <v>-3.09</v>
      </c>
      <c r="T9">
        <v>-2.2799999999999998</v>
      </c>
      <c r="U9">
        <v>78</v>
      </c>
      <c r="AE9" t="s">
        <v>68</v>
      </c>
      <c r="AF9" s="38" t="s">
        <v>71</v>
      </c>
      <c r="AG9" t="s">
        <v>54</v>
      </c>
      <c r="AH9" t="s">
        <v>70</v>
      </c>
    </row>
    <row r="10" spans="1:38" ht="15.75" x14ac:dyDescent="0.3">
      <c r="B10" t="s">
        <v>74</v>
      </c>
      <c r="C10" t="s">
        <v>75</v>
      </c>
      <c r="D10" t="s">
        <v>34</v>
      </c>
      <c r="E10" s="39">
        <v>59236043</v>
      </c>
      <c r="F10" t="s">
        <v>33</v>
      </c>
      <c r="G10" t="s">
        <v>38</v>
      </c>
      <c r="H10" t="s">
        <v>79</v>
      </c>
      <c r="I10" t="s">
        <v>80</v>
      </c>
      <c r="J10" s="37">
        <v>44573</v>
      </c>
      <c r="L10">
        <v>3.5</v>
      </c>
      <c r="M10">
        <v>47.5</v>
      </c>
      <c r="N10">
        <v>39</v>
      </c>
      <c r="O10" s="37">
        <v>45672</v>
      </c>
      <c r="P10">
        <v>9.4700000000000006</v>
      </c>
      <c r="Q10">
        <v>87.5</v>
      </c>
      <c r="R10" t="s">
        <v>81</v>
      </c>
      <c r="S10">
        <v>-3.13</v>
      </c>
      <c r="T10">
        <v>-2</v>
      </c>
      <c r="U10">
        <v>75</v>
      </c>
      <c r="AE10" t="s">
        <v>83</v>
      </c>
      <c r="AF10" s="38" t="s">
        <v>82</v>
      </c>
      <c r="AG10" t="s">
        <v>39</v>
      </c>
      <c r="AH10" t="s">
        <v>49</v>
      </c>
    </row>
    <row r="11" spans="1:38" ht="15.75" x14ac:dyDescent="0.3">
      <c r="B11" t="s">
        <v>84</v>
      </c>
      <c r="C11" t="s">
        <v>88</v>
      </c>
      <c r="D11" t="s">
        <v>34</v>
      </c>
      <c r="E11" s="39">
        <v>70164487</v>
      </c>
      <c r="F11" t="s">
        <v>33</v>
      </c>
      <c r="G11" t="s">
        <v>38</v>
      </c>
      <c r="H11" t="s">
        <v>90</v>
      </c>
      <c r="I11" t="s">
        <v>89</v>
      </c>
      <c r="J11" s="37">
        <v>45279</v>
      </c>
      <c r="L11">
        <v>2.72</v>
      </c>
      <c r="M11">
        <v>45</v>
      </c>
      <c r="N11">
        <v>39</v>
      </c>
      <c r="O11" s="37">
        <v>45674</v>
      </c>
      <c r="P11" t="s">
        <v>85</v>
      </c>
      <c r="Q11">
        <v>69</v>
      </c>
      <c r="R11">
        <v>-1.32</v>
      </c>
      <c r="S11">
        <v>-2.89</v>
      </c>
      <c r="T11">
        <v>-3.12</v>
      </c>
      <c r="U11">
        <v>81</v>
      </c>
      <c r="AE11" t="s">
        <v>91</v>
      </c>
      <c r="AF11" s="38" t="s">
        <v>86</v>
      </c>
      <c r="AG11" t="s">
        <v>39</v>
      </c>
      <c r="AH11" t="s">
        <v>87</v>
      </c>
    </row>
    <row r="12" spans="1:38" ht="15.75" x14ac:dyDescent="0.3">
      <c r="B12" t="s">
        <v>92</v>
      </c>
      <c r="C12" t="s">
        <v>75</v>
      </c>
      <c r="D12" t="s">
        <v>34</v>
      </c>
      <c r="E12" s="39">
        <v>70227496</v>
      </c>
      <c r="F12" t="s">
        <v>35</v>
      </c>
      <c r="G12" t="s">
        <v>38</v>
      </c>
      <c r="H12" t="s">
        <v>93</v>
      </c>
      <c r="I12" t="s">
        <v>58</v>
      </c>
      <c r="J12" s="37">
        <v>45368</v>
      </c>
      <c r="L12">
        <v>3.05</v>
      </c>
      <c r="M12">
        <v>49</v>
      </c>
      <c r="N12">
        <v>40</v>
      </c>
      <c r="O12" s="37">
        <v>45709</v>
      </c>
      <c r="P12">
        <v>5.85</v>
      </c>
      <c r="Q12">
        <v>68</v>
      </c>
      <c r="R12">
        <v>-3.81</v>
      </c>
      <c r="S12">
        <v>-3.98</v>
      </c>
      <c r="T12">
        <v>-2.4</v>
      </c>
      <c r="U12">
        <v>74</v>
      </c>
      <c r="AE12" t="s">
        <v>101</v>
      </c>
      <c r="AF12" s="38" t="s">
        <v>102</v>
      </c>
      <c r="AG12" t="s">
        <v>39</v>
      </c>
      <c r="AH12" t="s">
        <v>94</v>
      </c>
    </row>
    <row r="13" spans="1:38" ht="15.75" x14ac:dyDescent="0.3">
      <c r="B13" t="s">
        <v>95</v>
      </c>
      <c r="C13" t="s">
        <v>75</v>
      </c>
      <c r="D13" t="s">
        <v>34</v>
      </c>
      <c r="E13" s="39">
        <v>70096596</v>
      </c>
      <c r="F13" t="s">
        <v>33</v>
      </c>
      <c r="G13" t="s">
        <v>48</v>
      </c>
      <c r="H13" t="s">
        <v>103</v>
      </c>
      <c r="I13" t="s">
        <v>58</v>
      </c>
      <c r="J13" s="37">
        <v>45235</v>
      </c>
      <c r="L13">
        <v>3.22</v>
      </c>
      <c r="M13">
        <v>49</v>
      </c>
      <c r="N13">
        <v>38</v>
      </c>
      <c r="O13" s="37">
        <v>45679</v>
      </c>
      <c r="P13">
        <v>6.4</v>
      </c>
      <c r="Q13">
        <v>70</v>
      </c>
      <c r="R13">
        <v>-2.4700000000000002</v>
      </c>
      <c r="S13">
        <v>-3.34</v>
      </c>
      <c r="T13">
        <v>-2.79</v>
      </c>
      <c r="U13">
        <v>78</v>
      </c>
      <c r="AE13" t="s">
        <v>104</v>
      </c>
      <c r="AF13" s="38" t="s">
        <v>96</v>
      </c>
      <c r="AG13" t="s">
        <v>97</v>
      </c>
      <c r="AH13" t="s">
        <v>98</v>
      </c>
    </row>
    <row r="18" spans="2:2" x14ac:dyDescent="0.25">
      <c r="B18" s="38"/>
    </row>
    <row r="19" spans="2:2" x14ac:dyDescent="0.25">
      <c r="B19" s="40"/>
    </row>
    <row r="20" spans="2:2" x14ac:dyDescent="0.25">
      <c r="B20" s="38"/>
    </row>
    <row r="21" spans="2:2" x14ac:dyDescent="0.25">
      <c r="B21" s="38"/>
    </row>
    <row r="22" spans="2:2" x14ac:dyDescent="0.25">
      <c r="B22" s="38"/>
    </row>
    <row r="23" spans="2:2" x14ac:dyDescent="0.25">
      <c r="B23" s="38"/>
    </row>
    <row r="24" spans="2:2" x14ac:dyDescent="0.25">
      <c r="B24" s="38"/>
    </row>
    <row r="25" spans="2:2" x14ac:dyDescent="0.25">
      <c r="B25" s="38"/>
    </row>
    <row r="26" spans="2:2" x14ac:dyDescent="0.25">
      <c r="B26" s="38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Nutri-Recu</dc:creator>
  <cp:lastModifiedBy>Nutri-Recu</cp:lastModifiedBy>
  <dcterms:created xsi:type="dcterms:W3CDTF">2024-07-05T11:46:38Z</dcterms:created>
  <dcterms:modified xsi:type="dcterms:W3CDTF">2025-01-22T16:05:35Z</dcterms:modified>
</cp:coreProperties>
</file>